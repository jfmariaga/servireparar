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LANTAS" sheetId="1" r:id="rId4"/>
    <sheet state="visible" name="EPP" sheetId="2" r:id="rId5"/>
    <sheet state="visible" name="TUBERIAS Y LAMINAS" sheetId="3" r:id="rId6"/>
    <sheet state="visible" name="INSUMOS" sheetId="4" r:id="rId7"/>
    <sheet state="visible" name="PRECIOS" sheetId="5" r:id="rId8"/>
    <sheet state="visible" name="PINTURAS" sheetId="6" r:id="rId9"/>
    <sheet state="visible" name="HERRAMIENTAS" sheetId="7" r:id="rId10"/>
    <sheet state="visible" name="REPUESTOS" sheetId="8" r:id="rId11"/>
    <sheet state="hidden" name="Hoja1" sheetId="9" r:id="rId12"/>
    <sheet state="visible" name="Gráfico1 2. Top 5 Herramientas " sheetId="10" r:id="rId13"/>
  </sheets>
  <definedNames/>
  <calcPr/>
  <extLst>
    <ext uri="GoogleSheetsCustomDataVersion2">
      <go:sheetsCustomData xmlns:go="http://customooxmlschemas.google.com/" r:id="rId14" roundtripDataChecksum="clR47mRxPv3R1TYrorQvspC+rIXA3TCtqSe+gyy67Gk="/>
    </ext>
  </extLst>
</workbook>
</file>

<file path=xl/sharedStrings.xml><?xml version="1.0" encoding="utf-8"?>
<sst xmlns="http://schemas.openxmlformats.org/spreadsheetml/2006/main" count="1947" uniqueCount="561">
  <si>
    <t>INVENTARIO SERVIREPARAR</t>
  </si>
  <si>
    <t>TUBERIAS</t>
  </si>
  <si>
    <t>EQUIPOS DE PROTECCIÓN (EPP)</t>
  </si>
  <si>
    <t>LLANTAS</t>
  </si>
  <si>
    <t xml:space="preserve">UBICACIÓN </t>
  </si>
  <si>
    <t>HERRAMIENTA</t>
  </si>
  <si>
    <t>MARCA</t>
  </si>
  <si>
    <t>STOCK</t>
  </si>
  <si>
    <t>INICIAL</t>
  </si>
  <si>
    <t>INGRESO</t>
  </si>
  <si>
    <t>SALIDA</t>
  </si>
  <si>
    <t>SALDO</t>
  </si>
  <si>
    <t>% DE STOCK</t>
  </si>
  <si>
    <t>OBSERVACION</t>
  </si>
  <si>
    <t>MEDIDA</t>
  </si>
  <si>
    <t>PRECIOS</t>
  </si>
  <si>
    <t>ESTADO</t>
  </si>
  <si>
    <t>BODEGA PLANTA 1</t>
  </si>
  <si>
    <t>ESTANTE #2 NIVEL 2</t>
  </si>
  <si>
    <t>8.75 - 16.5</t>
  </si>
  <si>
    <t>TIZA</t>
  </si>
  <si>
    <t>ELEMENTO</t>
  </si>
  <si>
    <t>OFICINA ADMINISTRATIVA</t>
  </si>
  <si>
    <t xml:space="preserve">GUANTES AMARILLOS </t>
  </si>
  <si>
    <t>WURTH</t>
  </si>
  <si>
    <t>REFERENCIA</t>
  </si>
  <si>
    <t>METROS</t>
  </si>
  <si>
    <t>235-85 R16</t>
  </si>
  <si>
    <t>VALOR</t>
  </si>
  <si>
    <t>PATIO 1</t>
  </si>
  <si>
    <t>TUB ESTRUCT RECT 80 X 40MM X 2.00</t>
  </si>
  <si>
    <t>ACRILICOS</t>
  </si>
  <si>
    <t>215/75 R 17.5</t>
  </si>
  <si>
    <t>CINTA DE ENMASCARAR</t>
  </si>
  <si>
    <t>LENTES TRANSPARENTES</t>
  </si>
  <si>
    <t>6.50R16</t>
  </si>
  <si>
    <t>ANG HO 1.1/2" X 3/16</t>
  </si>
  <si>
    <t>225/ 75R 16C</t>
  </si>
  <si>
    <t>CINTA DE ENMASCARAR 1/4</t>
  </si>
  <si>
    <t>PASOS PARA ESCALERA</t>
  </si>
  <si>
    <t>FILTRO MASCARA DE PINTAR</t>
  </si>
  <si>
    <t>3M</t>
  </si>
  <si>
    <t xml:space="preserve">ANG HO 3" X 3/16" </t>
  </si>
  <si>
    <t>7.50 - 10</t>
  </si>
  <si>
    <t>AGENTE DE BARRIDO</t>
  </si>
  <si>
    <t>FLUSH CLEANER</t>
  </si>
  <si>
    <t>PROTECTORES AUDITIVOS DE INSERCIÓN</t>
  </si>
  <si>
    <t>6.50 R10</t>
  </si>
  <si>
    <t>TUB ESTRUCT CUAD 40MM X 2.50MM</t>
  </si>
  <si>
    <t>ACEITE SPRAY</t>
  </si>
  <si>
    <t>PROTECTOR AUDITIVO DE COPA</t>
  </si>
  <si>
    <t>BAUKER</t>
  </si>
  <si>
    <t>TUB ESTRUCT RECT 80 X 40MM X 2.50MM</t>
  </si>
  <si>
    <t xml:space="preserve">115/80 D 12 </t>
  </si>
  <si>
    <t>PINES EN R</t>
  </si>
  <si>
    <t>RDL</t>
  </si>
  <si>
    <t>VAR HO LISO 5/8"</t>
  </si>
  <si>
    <t xml:space="preserve">530 -12 </t>
  </si>
  <si>
    <t>1 CAJA</t>
  </si>
  <si>
    <t>TEFLON</t>
  </si>
  <si>
    <t>GUANTES DE SOLDAR TIPO ARGON</t>
  </si>
  <si>
    <t>VAR HO LISO 1/2"</t>
  </si>
  <si>
    <t>7.00 R15</t>
  </si>
  <si>
    <t>DELANTAL INDUSTRIAL</t>
  </si>
  <si>
    <t>5.70-8</t>
  </si>
  <si>
    <t xml:space="preserve">ARANDELAS DE COBRE </t>
  </si>
  <si>
    <t>TUB ESTRUCT CUAD (1") 25MM X 1.50MM</t>
  </si>
  <si>
    <t>GUANTES PARA SOLDAR</t>
  </si>
  <si>
    <t>18x7-8</t>
  </si>
  <si>
    <t>ANILLO DE RETENCION TIPO C</t>
  </si>
  <si>
    <t>LAM GALV 16 (1.45MM) DE 4 X 8´</t>
  </si>
  <si>
    <t>DELANTAL DE CARNAZA AMARILLO</t>
  </si>
  <si>
    <t>45 X 1.75 / 24 X 1.2 / 34 X 1 .5 / 8 X 0.8</t>
  </si>
  <si>
    <t>TUB ESTRUCT RECT 100 X 50MM X 300 MM</t>
  </si>
  <si>
    <t>500R8</t>
  </si>
  <si>
    <t>MANGAS PARA SOLDAR</t>
  </si>
  <si>
    <t xml:space="preserve">3 X 56 (2) / 2 X 50 / 4 X 60 (2) 5 X 85 (2) </t>
  </si>
  <si>
    <t>TUB ESTRUCT CUAD (1") 25MM X 2.00 MM</t>
  </si>
  <si>
    <t>400 -8</t>
  </si>
  <si>
    <t>GUANTES DE NITRILO</t>
  </si>
  <si>
    <t>PUNTILLA DE ACERO</t>
  </si>
  <si>
    <t>2 CAJAS</t>
  </si>
  <si>
    <t>LENTE PARA SOLDAR DE AUTO-OSCURECIMIENTO</t>
  </si>
  <si>
    <t>TRUECOLOR</t>
  </si>
  <si>
    <t>VALVULA DE NEUMATICO SIN CAMARA</t>
  </si>
  <si>
    <t>KIT DE LENTES DE RESPUESTO PARA CARETA DE SOLDAR</t>
  </si>
  <si>
    <t>UBERMAN</t>
  </si>
  <si>
    <t>LENTES TRANSPARENTES PARA CARETA DE SOLDAR</t>
  </si>
  <si>
    <t>ESPUMA POLIURETANO</t>
  </si>
  <si>
    <t>MASCARA RESPIRADORA SIN FILTROS</t>
  </si>
  <si>
    <t>INSTASOLDA FRASCO PEQUEÑO</t>
  </si>
  <si>
    <t>RASKING</t>
  </si>
  <si>
    <t>MASCARA RESPIRADORA CON FILTRO</t>
  </si>
  <si>
    <t>SOLDA MAX PVC</t>
  </si>
  <si>
    <t xml:space="preserve">MASCARILLAS </t>
  </si>
  <si>
    <t>LIQUIDO DE FRENO</t>
  </si>
  <si>
    <t>COFRE</t>
  </si>
  <si>
    <t>ADICTIVO LIMPIADOR DE INYECTORES</t>
  </si>
  <si>
    <t>ALMACEN DE LLANTAS</t>
  </si>
  <si>
    <t>SELLADOR DE TEFLON</t>
  </si>
  <si>
    <t>MESA DE MADERA</t>
  </si>
  <si>
    <t>TRABAROSCA FUERZA ALTA</t>
  </si>
  <si>
    <t>SEALCO</t>
  </si>
  <si>
    <t>TRABAROSCA FUERA MEDIA</t>
  </si>
  <si>
    <t>LOCTITE</t>
  </si>
  <si>
    <t>SPRAY PROTECTOR Y ACONDICIONADOR DE CORREAS</t>
  </si>
  <si>
    <t>ABRO</t>
  </si>
  <si>
    <t>NEUMATICOS</t>
  </si>
  <si>
    <t>ELIMINADOR DE EMPAQUES</t>
  </si>
  <si>
    <t>1200 NEUMATICO Y PROTECTOR</t>
  </si>
  <si>
    <t>NUEVO</t>
  </si>
  <si>
    <t>CINTA ANTIDESLIZANTE 20 MTRS</t>
  </si>
  <si>
    <t>TESSA</t>
  </si>
  <si>
    <t>GRATA PEQUEÑA</t>
  </si>
  <si>
    <t>USADO</t>
  </si>
  <si>
    <t>SILICONA GRIS</t>
  </si>
  <si>
    <t>VELKO</t>
  </si>
  <si>
    <t>600 - 9 NEUMATICO</t>
  </si>
  <si>
    <t>ESTANTE #2 NIVEL 3</t>
  </si>
  <si>
    <t>LIMPIADOR DE CARBURADOR</t>
  </si>
  <si>
    <t>6.50 - 10 NEUMATICO</t>
  </si>
  <si>
    <t>400 - 450 R12 NEUMATICO</t>
  </si>
  <si>
    <t>7.50 R 16 NEUMATICO</t>
  </si>
  <si>
    <t>MULTIPROPOSITO</t>
  </si>
  <si>
    <t>6.50 R10 PROTECTOR</t>
  </si>
  <si>
    <t>AFLOJA PIEZAS DE ALTO DESEMPEÑO</t>
  </si>
  <si>
    <t>4.00 8 NEUMATICOS</t>
  </si>
  <si>
    <t>GR 14 - TR 13 NEUMATICO</t>
  </si>
  <si>
    <t>LIMPIADOR ELECTRONICO</t>
  </si>
  <si>
    <t>650 - 10 NEUMATICO</t>
  </si>
  <si>
    <t>FILTRO DE COMBUSTIBLE</t>
  </si>
  <si>
    <t>PARTMO</t>
  </si>
  <si>
    <t>8.15 - 15 TR 75 A NEUMATICO</t>
  </si>
  <si>
    <t>A-97C, A-96C</t>
  </si>
  <si>
    <t>FILTRO ACEITE</t>
  </si>
  <si>
    <t>8.25 / 7.50 R 16 PROTECTOR</t>
  </si>
  <si>
    <t>A-18, A-339SP</t>
  </si>
  <si>
    <t>6.50 / 7.50 - 10 PROTECTOR</t>
  </si>
  <si>
    <t>SEPARADOR DE AGUA COMBUSTIBLE</t>
  </si>
  <si>
    <t>PERKINS</t>
  </si>
  <si>
    <t>7.00 / 6.50 R16 PROTECTOR</t>
  </si>
  <si>
    <t>FILTRO DE ACEITE</t>
  </si>
  <si>
    <t>DONALDSON</t>
  </si>
  <si>
    <t>4</t>
  </si>
  <si>
    <t>P550428, P551670 (2), P550001, P550008</t>
  </si>
  <si>
    <t>9</t>
  </si>
  <si>
    <t>P556916(1), P550881, P556915(2), P502420, P551354</t>
  </si>
  <si>
    <t>FILTRO HIDRAULICO</t>
  </si>
  <si>
    <t>2</t>
  </si>
  <si>
    <t>P551551, P551553</t>
  </si>
  <si>
    <t>FILTRO BADLWIN</t>
  </si>
  <si>
    <t>BALDWIN</t>
  </si>
  <si>
    <t>12</t>
  </si>
  <si>
    <t>14</t>
  </si>
  <si>
    <t>BT237 - 1, BR372-10 (2), B211 - 1, BF7681-D - 1, BT839 - 10 - 1, BF825 - 2, BF1280 - 1, BF988 - 1, BF970 - 1, BF7557 - 1, BT339 - 1.</t>
  </si>
  <si>
    <t>SEPARADOR DE ACEITE/AGUA COMBUSTIBLE</t>
  </si>
  <si>
    <t>FILTROS MASTER</t>
  </si>
  <si>
    <t>1</t>
  </si>
  <si>
    <t>FM A5813G</t>
  </si>
  <si>
    <t>FLEETGUARD</t>
  </si>
  <si>
    <t>LF3970, LF670</t>
  </si>
  <si>
    <t>FILTRO COMBUSTIBLE</t>
  </si>
  <si>
    <t>FILTRO DE AIRE</t>
  </si>
  <si>
    <t xml:space="preserve">23354, FC-E523, Redondo mediano, Largo mediano </t>
  </si>
  <si>
    <t>FF5206(2), FS20000</t>
  </si>
  <si>
    <t>ESTANTE #2 NIVEL 4</t>
  </si>
  <si>
    <t>CABLE ROJO #10</t>
  </si>
  <si>
    <t>PRECIOS POR UNIDAD</t>
  </si>
  <si>
    <t>CABLE 0 0</t>
  </si>
  <si>
    <t>ESTANTE #2</t>
  </si>
  <si>
    <t>PRECIO</t>
  </si>
  <si>
    <t>SILICONA GRIS 85 GR</t>
  </si>
  <si>
    <t>ESTATANTE DE PINTURA NEGRO</t>
  </si>
  <si>
    <t>ALTA TEMPERATIRA PLATEADO</t>
  </si>
  <si>
    <t>CABLE ROJO #16</t>
  </si>
  <si>
    <t>MESA NEGRA</t>
  </si>
  <si>
    <t>SOLDADURA 6011 1/8</t>
  </si>
  <si>
    <t>Und</t>
  </si>
  <si>
    <t>GALON</t>
  </si>
  <si>
    <t>LUBRICANTE MULTIPROPOSITO</t>
  </si>
  <si>
    <t>KILOS</t>
  </si>
  <si>
    <t>SOLDADURA 7018 1/8</t>
  </si>
  <si>
    <t>ESTANTE</t>
  </si>
  <si>
    <t>ALTA TEMPERATURA GRIS</t>
  </si>
  <si>
    <t>ACEITE 15W 40 5 G</t>
  </si>
  <si>
    <t>BUJES</t>
  </si>
  <si>
    <t>Gl</t>
  </si>
  <si>
    <t xml:space="preserve">MASILLA </t>
  </si>
  <si>
    <t>ESTANTE #1</t>
  </si>
  <si>
    <t>CARALZ</t>
  </si>
  <si>
    <t>REFRIGERANTE 15K VERDE</t>
  </si>
  <si>
    <t xml:space="preserve">ESTANTE </t>
  </si>
  <si>
    <t>BATERIA 30H VKB DURAK 1200 SMF</t>
  </si>
  <si>
    <t>RESORTES DE TIRO</t>
  </si>
  <si>
    <t>POLIAMIDA GRIS</t>
  </si>
  <si>
    <t>KOUT</t>
  </si>
  <si>
    <t>ACITE ISO 68W 5G</t>
  </si>
  <si>
    <t>ESMALTE POLIURETANO NEGRO</t>
  </si>
  <si>
    <t>RESORTES DIFERENTES</t>
  </si>
  <si>
    <t>GRICOAL</t>
  </si>
  <si>
    <t>BOCINES DE MALETERO</t>
  </si>
  <si>
    <t>HERRAMIENTAS ( Estante negro # 1 )</t>
  </si>
  <si>
    <t>POLIURETANO ROJO</t>
  </si>
  <si>
    <t>JUEGO DE RETENEDORES</t>
  </si>
  <si>
    <t>OFICINA</t>
  </si>
  <si>
    <t>SILICONA GRIS ALTA TEMPERATURA 17 GR</t>
  </si>
  <si>
    <t>BOCINES QUINTA RUEDA</t>
  </si>
  <si>
    <t>ESTANTE WURTH #1</t>
  </si>
  <si>
    <t>BROCA 1/8</t>
  </si>
  <si>
    <t>POLIURETANO BLANCO</t>
  </si>
  <si>
    <t>PUNTA DE EJE</t>
  </si>
  <si>
    <t>UNIDAD</t>
  </si>
  <si>
    <t>BROCA 3/8</t>
  </si>
  <si>
    <t>POLIURETANO AZUL</t>
  </si>
  <si>
    <t>Mts</t>
  </si>
  <si>
    <t>JUEGO DE ARNES</t>
  </si>
  <si>
    <t>ARGOLLA 1/2</t>
  </si>
  <si>
    <t>BROCA 3/16</t>
  </si>
  <si>
    <t>POLIURETANO AMARILLO</t>
  </si>
  <si>
    <t>BROCA 6 MM</t>
  </si>
  <si>
    <t>ARGOLLA 1"</t>
  </si>
  <si>
    <t>JUEGO DE OXICORTE</t>
  </si>
  <si>
    <t>TINER</t>
  </si>
  <si>
    <t>BROCA 8 MM</t>
  </si>
  <si>
    <t>RODYLLO NYLON MEDIANO 35 X 56</t>
  </si>
  <si>
    <t>CONJUNTO DE ALICATES PARA SEGURO</t>
  </si>
  <si>
    <t>BROCA 10 MM</t>
  </si>
  <si>
    <t>CATALIZADOR POLIURETANO</t>
  </si>
  <si>
    <t>RUEDA 4 SUPER CARGA GIRATORIA CON FRENO</t>
  </si>
  <si>
    <t>PISTOLA NEUMATICA</t>
  </si>
  <si>
    <t>BROCA 12 MM</t>
  </si>
  <si>
    <t>DISOLVENTE</t>
  </si>
  <si>
    <t>RUEDA 4 GIRATORIA SUPER CARGA</t>
  </si>
  <si>
    <t>JUEGO DE CAUTIN KING SOLDADOR</t>
  </si>
  <si>
    <t>ESTANTE #7</t>
  </si>
  <si>
    <t>GRASA DE LITIO MULTIUSOS AZUL 1KG</t>
  </si>
  <si>
    <t>ESMALTE NEGRO</t>
  </si>
  <si>
    <t>PINTUAS EVERY</t>
  </si>
  <si>
    <t>PUNTA DE EJE CON BASE NUEVA</t>
  </si>
  <si>
    <t>CIERRA COPA DE 7 PIEZAS</t>
  </si>
  <si>
    <t>ESTANTE NEGRO</t>
  </si>
  <si>
    <t>ESMALTE BLANCO</t>
  </si>
  <si>
    <t>SOLDADURAS</t>
  </si>
  <si>
    <t>LINCOLN</t>
  </si>
  <si>
    <t>HIDROLAVADORA INALAMBRICA</t>
  </si>
  <si>
    <t>LIJA CUADRADA 80</t>
  </si>
  <si>
    <t xml:space="preserve">PUNTA DE EJE CON BASE </t>
  </si>
  <si>
    <t>DISCO DE CORTE 4"</t>
  </si>
  <si>
    <t>TALADRO INALAMBRICO FURIUS</t>
  </si>
  <si>
    <t>DISCO DE CORTE 7"</t>
  </si>
  <si>
    <t>SOPORTE DE RUEDA LOCA ROJA</t>
  </si>
  <si>
    <t>JUEGO DE RACHE GRANDE 19 PIEZAS</t>
  </si>
  <si>
    <t>LIJA CUADRADA 120</t>
  </si>
  <si>
    <t>DISCO DE CARBOFLAP</t>
  </si>
  <si>
    <t>TALADRO INALAMBRICO UBERMAN</t>
  </si>
  <si>
    <t>LIJA CUADRADA 220</t>
  </si>
  <si>
    <t>GRATA</t>
  </si>
  <si>
    <t>SOPORTE DE RUEDA</t>
  </si>
  <si>
    <t>LIJA CUADRADA 320</t>
  </si>
  <si>
    <t>Juego de machuela 19 piesas</t>
  </si>
  <si>
    <t>DISCO DEBASTE</t>
  </si>
  <si>
    <t>LIJA REDONDA 80</t>
  </si>
  <si>
    <t>SOPORTE AMARILLO DE RUEDA NEGRA</t>
  </si>
  <si>
    <t>TALADRO PERCUTOR</t>
  </si>
  <si>
    <t>LIJA REDONDA 120</t>
  </si>
  <si>
    <t xml:space="preserve">PULSADORES </t>
  </si>
  <si>
    <t>POLLAK</t>
  </si>
  <si>
    <t>ANTICHISPA</t>
  </si>
  <si>
    <t>BROCA ESCALONADA DE 3 PIEZAS</t>
  </si>
  <si>
    <t>LIJA REDONDA 320</t>
  </si>
  <si>
    <t>ARGOLLAS 1/2</t>
  </si>
  <si>
    <t>RINES BLANCO</t>
  </si>
  <si>
    <t>LIJA REDONDA 400</t>
  </si>
  <si>
    <t>JUEGO DE RACHE 88 PIEZAS</t>
  </si>
  <si>
    <t>SILLAS TRACTOR</t>
  </si>
  <si>
    <t>DISCOS DE TROZADORA</t>
  </si>
  <si>
    <t>ESPATULA PLASTICA</t>
  </si>
  <si>
    <t xml:space="preserve">DESENGRASANTE </t>
  </si>
  <si>
    <t>LLANTA LOCA NEGRA CON BASE</t>
  </si>
  <si>
    <t>JUEGO DE RACHE 33 PIEZAS</t>
  </si>
  <si>
    <t>VINILO NEGRO</t>
  </si>
  <si>
    <t>VINILTON</t>
  </si>
  <si>
    <t>TORNILLO COMPLETO PARA BASE DE TIRO DE ESCALERA</t>
  </si>
  <si>
    <t>BOCINES</t>
  </si>
  <si>
    <t>CAJA DE HERRAMIENTAS 101 PIEZAS</t>
  </si>
  <si>
    <t>CINTA ANTIDESLIZANTE</t>
  </si>
  <si>
    <t>RESORTE PARA PASADOR DE PUERTAS DE ESCALERA</t>
  </si>
  <si>
    <t>JUEGO DE RACHE PEQUEÑO 42PIEZAS</t>
  </si>
  <si>
    <t>MTR</t>
  </si>
  <si>
    <t>LLANTAS SILLA DE RUEDAS PEQUEÑAS</t>
  </si>
  <si>
    <t>REMOVEDOR</t>
  </si>
  <si>
    <t>POLIESCOL</t>
  </si>
  <si>
    <t>ESTUCHE DE LLAVES</t>
  </si>
  <si>
    <t>MOTOR Y HÉLICE DE EXTRACTO</t>
  </si>
  <si>
    <t>BROCHA 2"</t>
  </si>
  <si>
    <t>SILLAS DE TRACTOR</t>
  </si>
  <si>
    <t>TIJERA DE LAMINA</t>
  </si>
  <si>
    <t>KORAZA 520</t>
  </si>
  <si>
    <t>PINTUCO</t>
  </si>
  <si>
    <t>CAJON WURTH #1</t>
  </si>
  <si>
    <t>DISCO CORTE 4"</t>
  </si>
  <si>
    <t>LACA ALUMINIO GRADO FINO</t>
  </si>
  <si>
    <t>DESTORNILLADOR DE IMPACTO 34 PIEZAS</t>
  </si>
  <si>
    <t>PINTURAS SUPER</t>
  </si>
  <si>
    <t>JUEGO DE RACHE PEQUEÑO 17 PIEZAS</t>
  </si>
  <si>
    <t>OK</t>
  </si>
  <si>
    <t>DISCO CORTE 7"</t>
  </si>
  <si>
    <t>MEDIDOR DE TORQUE</t>
  </si>
  <si>
    <t>KIT DE O-RING CAJA GRANDE</t>
  </si>
  <si>
    <t>DISCO CARBOFLAP</t>
  </si>
  <si>
    <t>KIT DE O-RING CAJA PEQUEÑA MILIMETRICO Y ESTANDAR</t>
  </si>
  <si>
    <t>JUEGO DE DADOS PRETUR 16 PIEZAS</t>
  </si>
  <si>
    <t>PRETUR</t>
  </si>
  <si>
    <t>CALIBRADOR</t>
  </si>
  <si>
    <t>JUEGO DE RACHE 24 PIEZAS</t>
  </si>
  <si>
    <t>CHICAGO</t>
  </si>
  <si>
    <t>JUEGO DE LLAVES L</t>
  </si>
  <si>
    <t>PISTOLA DE SILICONA</t>
  </si>
  <si>
    <t>BROCA 1/4</t>
  </si>
  <si>
    <t>PULIDORAS GRANDES (DAÑADA)</t>
  </si>
  <si>
    <t>BROCA 1/2</t>
  </si>
  <si>
    <t>LIJADORA MANUAL (DAÑADA)</t>
  </si>
  <si>
    <t>REMACHADORA DE ACORDEON (DAÑADA)</t>
  </si>
  <si>
    <t>ESTANTE #1 NIVEL 1</t>
  </si>
  <si>
    <t>REFRIGERANTE R134</t>
  </si>
  <si>
    <t>FREON</t>
  </si>
  <si>
    <t>LIJADORA MANUAL REDONDA</t>
  </si>
  <si>
    <t>ESTANTE #1 NIVEL 2</t>
  </si>
  <si>
    <t>REFRIGERANTE 407</t>
  </si>
  <si>
    <t>SIERRA</t>
  </si>
  <si>
    <t>DESENGRASANTE PARA RADIADOR</t>
  </si>
  <si>
    <t>COIL X CLEANER</t>
  </si>
  <si>
    <t>MARTILLO DE GOMA</t>
  </si>
  <si>
    <t>EVAP CLEANER</t>
  </si>
  <si>
    <t>AGUA PARA BATERIA</t>
  </si>
  <si>
    <t>STAR OIL</t>
  </si>
  <si>
    <t>MANGUERA DE PRESION</t>
  </si>
  <si>
    <t>MAZYCOLDS ADELGAZADOR</t>
  </si>
  <si>
    <t>PENSADORA DE ANILLO</t>
  </si>
  <si>
    <t>REFRIGERANTE ANTICORROSIVO ANTIOXIDANTE</t>
  </si>
  <si>
    <t>BEGTONE</t>
  </si>
  <si>
    <t xml:space="preserve">REFRIGERANTE ANTICORROSIVO </t>
  </si>
  <si>
    <t>MOBIL</t>
  </si>
  <si>
    <t>KG</t>
  </si>
  <si>
    <t>CORTADORA DE LAMINA</t>
  </si>
  <si>
    <t>REGRIGERANTE VERDE</t>
  </si>
  <si>
    <t>RESPUESTOS ESTANTE #1</t>
  </si>
  <si>
    <t>PARO DE EMERGENCIA</t>
  </si>
  <si>
    <t>CHINT</t>
  </si>
  <si>
    <t>ACEITE 15W40</t>
  </si>
  <si>
    <t>MAKOTO</t>
  </si>
  <si>
    <t>PULICHADORA</t>
  </si>
  <si>
    <t>ESTANTE #1 NIVEL 3</t>
  </si>
  <si>
    <t>ACEITE 68</t>
  </si>
  <si>
    <t>RACHE SOLO</t>
  </si>
  <si>
    <t>LAMPARA REDONDA STOP NUEVA</t>
  </si>
  <si>
    <t>LUBE MAX</t>
  </si>
  <si>
    <t>LAMPARA REDONDA LED NUEVA</t>
  </si>
  <si>
    <t>PISTOLA PARA PINTAR</t>
  </si>
  <si>
    <t>CM</t>
  </si>
  <si>
    <t>LAMPARA CUADRADA STOP NUEVA</t>
  </si>
  <si>
    <t xml:space="preserve">CAJA DE HERRAMIENTA ROJA </t>
  </si>
  <si>
    <t>DESENGRASANTE INDUSTRIAL</t>
  </si>
  <si>
    <t>BICOIN O LICUADORA AMARILLA</t>
  </si>
  <si>
    <t>GREEN POWER</t>
  </si>
  <si>
    <t>ESTANTE #1 NIVEL 4</t>
  </si>
  <si>
    <t xml:space="preserve">REMACHADORA NEUMATICA 3/16 </t>
  </si>
  <si>
    <t>SWITCH STARTER</t>
  </si>
  <si>
    <t>TORICA</t>
  </si>
  <si>
    <t>ACEITE 80W 90</t>
  </si>
  <si>
    <t>MTS</t>
  </si>
  <si>
    <t>REMACHADORA NEUMATICA 3/16 DAÑADA</t>
  </si>
  <si>
    <t>SWITCH O PULSADOR</t>
  </si>
  <si>
    <t>GULF</t>
  </si>
  <si>
    <t>ESTANTE NARANJADO #1</t>
  </si>
  <si>
    <t>PALANCA DE FUERZA</t>
  </si>
  <si>
    <t>INTERRUPTOR DE LUCES</t>
  </si>
  <si>
    <t>REFRIGERANTE ROJO</t>
  </si>
  <si>
    <t>QOOL ENGINE</t>
  </si>
  <si>
    <t>PITO DE REVERSA</t>
  </si>
  <si>
    <t>HELLA</t>
  </si>
  <si>
    <t>MONA DE HIERRO</t>
  </si>
  <si>
    <t>ACEITE 85W 140</t>
  </si>
  <si>
    <t>ULTREK</t>
  </si>
  <si>
    <t>AUTOMATICO AUXILIAR ARRANQUE RAPIDO O SOLENOIDE 12V</t>
  </si>
  <si>
    <t>ACEITE SIN REFERENCIA</t>
  </si>
  <si>
    <t>GRASA</t>
  </si>
  <si>
    <t>LLAVE 1/8</t>
  </si>
  <si>
    <t>BORNE DE BATERIA P10</t>
  </si>
  <si>
    <t>CAJON WURTH #2</t>
  </si>
  <si>
    <t>AMARRES PLASTISCOS 3,6 x 280 MM</t>
  </si>
  <si>
    <t>SENSOR DE RECOGIDA</t>
  </si>
  <si>
    <t>REGLA DE METAL</t>
  </si>
  <si>
    <t>AMARRES PLASTISCOS 4,8 X 200 MM</t>
  </si>
  <si>
    <t>BOBINA 12V</t>
  </si>
  <si>
    <t>INJEKTION</t>
  </si>
  <si>
    <t>ESTACION DE MANDO</t>
  </si>
  <si>
    <t>EBCHQ</t>
  </si>
  <si>
    <t>AMARRES PLASTISCOS 4,8 X 178 MM</t>
  </si>
  <si>
    <t>PRENSA MANUAL</t>
  </si>
  <si>
    <t>BENDIX PARA ARRANQUE 10 DIENTES (1 NUEVO, 4 USADOS)</t>
  </si>
  <si>
    <t>AMARRES PLASTISCOS 2,5 X 100 MM</t>
  </si>
  <si>
    <t>SENSOR DE MOVIMIENTO</t>
  </si>
  <si>
    <t>EXCELITE</t>
  </si>
  <si>
    <t>MACHO SOLO DE MUELA</t>
  </si>
  <si>
    <t>AMARRES PLASTISCOS 4,8 X 280 MM</t>
  </si>
  <si>
    <t>100</t>
  </si>
  <si>
    <t>MEDIDOR DE FLUJO</t>
  </si>
  <si>
    <t>LLAVE DE TUBO 24 PULGADA</t>
  </si>
  <si>
    <t xml:space="preserve"> AMARRES PLASTISCOS 7,8 x 180 MM</t>
  </si>
  <si>
    <t>SENSOR MAGNETICO 3/4 SGMPG7345-SP</t>
  </si>
  <si>
    <t>LLAVE DE TUBO 36 PULGADA</t>
  </si>
  <si>
    <t>TAIKO</t>
  </si>
  <si>
    <t>AMARRES PLASTISCOS 7,8 X 360 MM</t>
  </si>
  <si>
    <t>BROCA PARED 1/4 PULGADAS</t>
  </si>
  <si>
    <t>BOMBA AUXILIAR DE COMBUSTIBLE</t>
  </si>
  <si>
    <t>LLAVE ESPANSIVA DE 600MM</t>
  </si>
  <si>
    <t>AMARRES PLASTICOS 4,8 X 360 MM</t>
  </si>
  <si>
    <t>SOLENOIDE DE ARRANQUE LARGO</t>
  </si>
  <si>
    <t>REMACHADORA</t>
  </si>
  <si>
    <t>INTERRUPTOR DE NEUTRO</t>
  </si>
  <si>
    <t>CISALLA</t>
  </si>
  <si>
    <t>BOMBA HIDRAULICA TIPO GOTERO</t>
  </si>
  <si>
    <t>TIJERA PARA ARBOLES</t>
  </si>
  <si>
    <t>LLAVE INGLESA</t>
  </si>
  <si>
    <t>ESTACION DE MANDO 1 BOTON</t>
  </si>
  <si>
    <t>MONA DE METAL</t>
  </si>
  <si>
    <t>RELEVO 8 PINES 12VDC</t>
  </si>
  <si>
    <t>CRUZETA</t>
  </si>
  <si>
    <t>MANGUERA DE VACIO</t>
  </si>
  <si>
    <t>METRO</t>
  </si>
  <si>
    <t>MANGUERA PARA FILTRO DE COMBUSTIBLE</t>
  </si>
  <si>
    <t>PATA CABRA</t>
  </si>
  <si>
    <t>PINZA PARA SOLDAR</t>
  </si>
  <si>
    <t>2 GRANDES -  3 PQUEÑAS</t>
  </si>
  <si>
    <t>TALADRO DE BANCO</t>
  </si>
  <si>
    <t>CAJON ROJO WURTH</t>
  </si>
  <si>
    <t>REMACHE</t>
  </si>
  <si>
    <t>BROCA 7/16</t>
  </si>
  <si>
    <t>FRESA PARA MOTOR TOUR 0616007031</t>
  </si>
  <si>
    <t>FRESA PARA MOTOR TOUR 0316003010</t>
  </si>
  <si>
    <t>FRESA PARA MOTOR TOUR 0616005041</t>
  </si>
  <si>
    <t>FRESA PARA MOTOR TOUR</t>
  </si>
  <si>
    <t>MACHUELO</t>
  </si>
  <si>
    <t>ANILLO PARA PISTON</t>
  </si>
  <si>
    <t>ESTAN NARANJO # 2</t>
  </si>
  <si>
    <t>CINTA AILANTE</t>
  </si>
  <si>
    <t>JUEGO DE BROCA ESCALONADA</t>
  </si>
  <si>
    <t>CAJON BLANCO</t>
  </si>
  <si>
    <t>METRO STANLEY 8M</t>
  </si>
  <si>
    <t>PULIDORA MEDIANA</t>
  </si>
  <si>
    <t>MOTORTUL</t>
  </si>
  <si>
    <t>ESTANTE REPUESTO # 2</t>
  </si>
  <si>
    <t>PULIDORA GRANDE ELITE</t>
  </si>
  <si>
    <t>TALADRO PERCURTOR ELITE</t>
  </si>
  <si>
    <t>LLAVE PARA TUBO 14 PLO</t>
  </si>
  <si>
    <t>METRO DE ACEITE ELECTRONICO</t>
  </si>
  <si>
    <t>BOSINES</t>
  </si>
  <si>
    <t>LLANTAS ROJAS</t>
  </si>
  <si>
    <t>PULIDORA PEQUEÑA</t>
  </si>
  <si>
    <t>PUNTAS QUINTA RUEDAS</t>
  </si>
  <si>
    <t>SEGURO DE TRACTOR</t>
  </si>
  <si>
    <t>RODILLO BLANCO PARA PUERTA DE ESCALERA</t>
  </si>
  <si>
    <t>RINES BLANCOS</t>
  </si>
  <si>
    <t>BANDA DE CONVEYOR</t>
  </si>
  <si>
    <t>TORNILLOS ESTABILIZADORES</t>
  </si>
  <si>
    <t>TUERCAS DE TORNILLOS ESTABILIZADORES</t>
  </si>
  <si>
    <t>LIJADORA INALAMBRICA</t>
  </si>
  <si>
    <t>CADENA DELGADA</t>
  </si>
  <si>
    <t>CADENA GRUESA</t>
  </si>
  <si>
    <t>VIDRIOS PARA CARETA DE SOLDAR COMPLETOS</t>
  </si>
  <si>
    <t>TIRO DE BARRA AVION</t>
  </si>
  <si>
    <t>MESA DEL CENTRO</t>
  </si>
  <si>
    <t>DISCO DE TROZADORA 14P</t>
  </si>
  <si>
    <t>DISCO DESBATE METAL</t>
  </si>
  <si>
    <t>DISCO FLAP GUATA 115X22,2 6180</t>
  </si>
  <si>
    <t>DISCO FLAP NYLON 4,5</t>
  </si>
  <si>
    <t>ACEITE DE CORTE EN SPRAY</t>
  </si>
  <si>
    <t>DISCO DE CORTE DE MADERA</t>
  </si>
  <si>
    <t>DISCO DE CORTE DE PARED</t>
  </si>
  <si>
    <t>DISCO DE CORTE ALUMINIO</t>
  </si>
  <si>
    <t>CAUCHOS ANTICHISPAS</t>
  </si>
  <si>
    <t>CUCHILLA</t>
  </si>
  <si>
    <t>MULTIMETRO</t>
  </si>
  <si>
    <t>MARTILLO ANTIREBOTE</t>
  </si>
  <si>
    <t>TALADRO</t>
  </si>
  <si>
    <t>PULIDORA MEDIA</t>
  </si>
  <si>
    <t>ROLLO DE SOLDADURA</t>
  </si>
  <si>
    <t>MASCARA DE SOLDAR</t>
  </si>
  <si>
    <t>JUEGO DE LIMA</t>
  </si>
  <si>
    <t>JUEGO DE LLAVES</t>
  </si>
  <si>
    <t>ESMERIL DE BANCO ELITE</t>
  </si>
  <si>
    <t>PORTA ELECTRODO</t>
  </si>
  <si>
    <t>MESA NEGRA DEL CENTRO</t>
  </si>
  <si>
    <t>MAQUINA DE SOLDAR BLANCA</t>
  </si>
  <si>
    <t>MAQUINA DE SOLDAR AMARILLA</t>
  </si>
  <si>
    <t>FURIUS</t>
  </si>
  <si>
    <t xml:space="preserve">MAQUINA DE SOLDAR AMARILLA PEQUEÑA </t>
  </si>
  <si>
    <t>1 CON 3 UNIDADES</t>
  </si>
  <si>
    <t xml:space="preserve">MAQUINA DE SOLDAR DE ALAMBRE </t>
  </si>
  <si>
    <t>MAQUINA DE SOLDAR BLANCA (NUEVA)</t>
  </si>
  <si>
    <t>SWEISS</t>
  </si>
  <si>
    <t>CAJA DE HERRAMIENTA (NUEVA)</t>
  </si>
  <si>
    <t>MAQUINA DE SOLDAR ROJA LINCOLN 01</t>
  </si>
  <si>
    <t>MAQUINA DE SOLDAR ALUMINIO</t>
  </si>
  <si>
    <t>CARGADOR DE BATERIA</t>
  </si>
  <si>
    <t>CAUTIN GRANDE</t>
  </si>
  <si>
    <t>ASPIRADORA</t>
  </si>
  <si>
    <t>TABLERO DE PULIDORAS</t>
  </si>
  <si>
    <t>PULIDORA PEQUEÑA ROJA 09</t>
  </si>
  <si>
    <t>PULIDORA GRANDE DEWALT</t>
  </si>
  <si>
    <t>PULIDORA MEDIANA DEWALT</t>
  </si>
  <si>
    <t>PULIDORA PEQUEÑA VERDE BOSCH</t>
  </si>
  <si>
    <t xml:space="preserve">Centimetros </t>
  </si>
  <si>
    <t>PULIDORA VERDE MAKITA</t>
  </si>
  <si>
    <t>MESA NARANJADA #1</t>
  </si>
  <si>
    <t>RESORTES PARA SEGURO DE PUERTA</t>
  </si>
  <si>
    <t>MESA DE TORNILLOS WURTH</t>
  </si>
  <si>
    <t xml:space="preserve">TORNILLOS PARA ESCALONES 1/16 </t>
  </si>
  <si>
    <t>COMPLETOS</t>
  </si>
  <si>
    <t>ARGOLLAS DE 1/2 TUERCA</t>
  </si>
  <si>
    <t>TALADRO VERDE</t>
  </si>
  <si>
    <t>BOSCH</t>
  </si>
  <si>
    <t>ESTANTE NARANJADO #2</t>
  </si>
  <si>
    <t>CABLE # 00</t>
  </si>
  <si>
    <t>TALADRO DEWALT</t>
  </si>
  <si>
    <t>CABLE # 10 NEGRO</t>
  </si>
  <si>
    <t>DEWALT</t>
  </si>
  <si>
    <t>TRONZADORA</t>
  </si>
  <si>
    <t>CABLE # 10 ROJO</t>
  </si>
  <si>
    <t>PEDIR EL RESTANTE</t>
  </si>
  <si>
    <t>CABLE #16 NARANJA</t>
  </si>
  <si>
    <t>REPUESTOS ESTANTE #1</t>
  </si>
  <si>
    <t>GRASERA</t>
  </si>
  <si>
    <t>CABLE #16 ROJO</t>
  </si>
  <si>
    <t>CAJA BLANCA</t>
  </si>
  <si>
    <t>VACUOMETRO</t>
  </si>
  <si>
    <t>ALAMBRE 12# BLANCO</t>
  </si>
  <si>
    <t>TERMOMETRO LASER</t>
  </si>
  <si>
    <t>CABLE #18 NEGRO</t>
  </si>
  <si>
    <t xml:space="preserve">ESTANTE NARANJADO #2 </t>
  </si>
  <si>
    <t>ALAMBRE 10#NEGRO</t>
  </si>
  <si>
    <t xml:space="preserve">LIJADORA </t>
  </si>
  <si>
    <t>ELITE</t>
  </si>
  <si>
    <t>CABLE DE PLANTA CON PLUS DE 3 PUERTOS</t>
  </si>
  <si>
    <t>ESTANTE NEGRO #3</t>
  </si>
  <si>
    <t xml:space="preserve">PULIDORA PEQUEÑA </t>
  </si>
  <si>
    <t>CABLE DE PLANTA CON PLUS DE 6 PUERTOS</t>
  </si>
  <si>
    <t>TALADRO PEQUEÑO</t>
  </si>
  <si>
    <t>NUEVO (CREO UNIDAD)</t>
  </si>
  <si>
    <t xml:space="preserve">MANGUERA ALTA PRESIÓN PARA SISTEMA HIDRAULICO </t>
  </si>
  <si>
    <t xml:space="preserve">MAQUINA DE SOLDAR PEQUEÑA </t>
  </si>
  <si>
    <t>Carlos</t>
  </si>
  <si>
    <t xml:space="preserve">CARETA DE SOLDAR </t>
  </si>
  <si>
    <t>LLANTAS MACIZAS</t>
  </si>
  <si>
    <t>7 LLANTAS SE ENVIARON SIN RIN</t>
  </si>
  <si>
    <t>ESTANTE DE PINTURA</t>
  </si>
  <si>
    <t>RAL BEIGE</t>
  </si>
  <si>
    <t>ESTANTE NIVEL 4</t>
  </si>
  <si>
    <t>CARLOS</t>
  </si>
  <si>
    <t>ESTANTE #4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</si>
</sst>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_-&quot;$&quot;\ * #,##0_-;\-&quot;$&quot;\ * #,##0_-;_-&quot;$&quot;\ * &quot;-&quot;??_-;_-@"/>
    <numFmt numFmtId="166" formatCode="#,##0.0"/>
    <numFmt numFmtId="167" formatCode="d/m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color theme="1"/>
      <name val="Calibri"/>
    </font>
    <font>
      <b/>
      <color theme="1"/>
      <name val="Calibri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595959"/>
        <bgColor rgb="FF595959"/>
      </patternFill>
    </fill>
    <fill>
      <patternFill patternType="solid">
        <fgColor rgb="FFFEF2CB"/>
        <bgColor rgb="FFFEF2CB"/>
      </patternFill>
    </fill>
    <fill>
      <patternFill patternType="solid">
        <fgColor rgb="FFAEABAB"/>
        <bgColor rgb="FFAEABAB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C8C8C8"/>
        <bgColor rgb="FFC8C8C8"/>
      </patternFill>
    </fill>
    <fill>
      <patternFill patternType="solid">
        <fgColor rgb="FF3F3F3F"/>
        <bgColor rgb="FF3F3F3F"/>
      </patternFill>
    </fill>
    <fill>
      <patternFill patternType="solid">
        <fgColor rgb="FFFCE4D6"/>
        <bgColor rgb="FFFCE4D6"/>
      </patternFill>
    </fill>
    <fill>
      <patternFill patternType="solid">
        <fgColor rgb="FFCC0000"/>
        <bgColor rgb="FFCC0000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B45F06"/>
        <bgColor rgb="FFB45F06"/>
      </patternFill>
    </fill>
    <fill>
      <patternFill patternType="solid">
        <fgColor rgb="FF8EA9DB"/>
        <bgColor rgb="FF8EA9DB"/>
      </patternFill>
    </fill>
    <fill>
      <patternFill patternType="solid">
        <fgColor rgb="FFE69138"/>
        <bgColor rgb="FFE69138"/>
      </patternFill>
    </fill>
    <fill>
      <patternFill patternType="solid">
        <fgColor rgb="FFFFE699"/>
        <bgColor rgb="FFFFE699"/>
      </patternFill>
    </fill>
  </fills>
  <borders count="2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4" fillId="0" fontId="1" numFmtId="1" xfId="0" applyBorder="1" applyFont="1" applyNumberFormat="1"/>
    <xf borderId="1" fillId="0" fontId="1" numFmtId="0" xfId="0" applyBorder="1" applyFont="1"/>
    <xf borderId="1" fillId="0" fontId="1" numFmtId="0" xfId="0" applyAlignment="1" applyBorder="1" applyFont="1">
      <alignment readingOrder="0"/>
    </xf>
    <xf borderId="5" fillId="0" fontId="1" numFmtId="0" xfId="0" applyBorder="1" applyFont="1"/>
    <xf borderId="6" fillId="0" fontId="1" numFmtId="0" xfId="0" applyBorder="1" applyFont="1"/>
    <xf borderId="7" fillId="2" fontId="1" numFmtId="0" xfId="0" applyAlignment="1" applyBorder="1" applyFill="1" applyFont="1">
      <alignment readingOrder="0" vertical="bottom"/>
    </xf>
    <xf borderId="8" fillId="3" fontId="3" numFmtId="0" xfId="0" applyAlignment="1" applyBorder="1" applyFill="1" applyFont="1">
      <alignment readingOrder="0" vertical="bottom"/>
    </xf>
    <xf borderId="8" fillId="2" fontId="3" numFmtId="0" xfId="0" applyAlignment="1" applyBorder="1" applyFill="1" applyFont="1">
      <alignment readingOrder="0" vertical="bottom"/>
    </xf>
    <xf borderId="7" fillId="0" fontId="3" numFmtId="0" xfId="0" applyBorder="1" applyFont="1"/>
    <xf borderId="7" fillId="0" fontId="3" numFmtId="0" xfId="0" applyAlignment="1" applyBorder="1" applyFont="1">
      <alignment readingOrder="0"/>
    </xf>
    <xf borderId="9" fillId="2" fontId="3" numFmtId="0" xfId="0" applyBorder="1" applyFill="1" applyFont="1"/>
    <xf borderId="9" fillId="0" fontId="3" numFmtId="13" xfId="0" applyAlignment="1" applyBorder="1" applyFont="1" applyNumberFormat="1">
      <alignment horizontal="right" readingOrder="0" vertical="bottom"/>
    </xf>
    <xf borderId="9" fillId="2" fontId="3" numFmtId="0" xfId="0" applyAlignment="1" applyBorder="1" applyFill="1" applyFont="1">
      <alignment readingOrder="0"/>
    </xf>
    <xf borderId="7" fillId="2" fontId="3" numFmtId="0" xfId="0" applyAlignment="1" applyBorder="1" applyFill="1" applyFont="1">
      <alignment horizontal="right" readingOrder="0" vertical="bottom"/>
    </xf>
    <xf borderId="7" fillId="2" fontId="3" numFmtId="0" xfId="0" applyAlignment="1" applyBorder="1" applyFill="1" applyFont="1">
      <alignment vertical="bottom"/>
    </xf>
    <xf borderId="7" fillId="2" fontId="3" numFmtId="0" xfId="0" applyAlignment="1" applyBorder="1" applyFill="1" applyFont="1">
      <alignment readingOrder="0" vertical="bottom"/>
    </xf>
    <xf borderId="9" fillId="0" fontId="3" numFmtId="13" xfId="0" applyBorder="1" applyFont="1" applyNumberFormat="1"/>
    <xf borderId="8" fillId="3" fontId="3" numFmtId="0" xfId="0" applyAlignment="1" applyBorder="1" applyFill="1" applyFont="1">
      <alignment vertical="bottom"/>
    </xf>
    <xf borderId="9" fillId="2" fontId="3" numFmtId="0" xfId="0" applyAlignment="1" applyBorder="1" applyFill="1" applyFont="1">
      <alignment horizontal="right"/>
    </xf>
    <xf borderId="9" fillId="0" fontId="3" numFmtId="9" xfId="0" applyBorder="1" applyFont="1" applyNumberFormat="1"/>
    <xf borderId="9" fillId="0" fontId="3" numFmtId="13" xfId="0" applyAlignment="1" applyBorder="1" applyFont="1" applyNumberFormat="1">
      <alignment horizontal="right" vertical="bottom"/>
    </xf>
    <xf borderId="9" fillId="2" fontId="3" numFmtId="9" xfId="0" applyBorder="1" applyFill="1" applyFont="1" applyNumberFormat="1"/>
    <xf borderId="9" fillId="2" fontId="3" numFmtId="164" xfId="0" applyAlignment="1" applyBorder="1" applyFill="1" applyFont="1" applyNumberFormat="1">
      <alignment readingOrder="0"/>
    </xf>
    <xf borderId="10" fillId="0" fontId="1" numFmtId="0" xfId="0" applyBorder="1" applyFont="1"/>
    <xf borderId="9" fillId="2" fontId="3" numFmtId="0" xfId="0" applyAlignment="1" applyBorder="1" applyFill="1" applyFont="1">
      <alignment horizontal="right" readingOrder="0" vertical="bottom"/>
    </xf>
    <xf borderId="9" fillId="2" fontId="3" numFmtId="164" xfId="0" applyBorder="1" applyFill="1" applyFont="1" applyNumberFormat="1"/>
    <xf borderId="9" fillId="2" fontId="3" numFmtId="0" xfId="0" applyAlignment="1" applyBorder="1" applyFill="1" applyFont="1">
      <alignment vertical="bottom"/>
    </xf>
    <xf borderId="9" fillId="2" fontId="3" numFmtId="0" xfId="0" applyAlignment="1" applyBorder="1" applyFill="1" applyFont="1">
      <alignment horizontal="right" readingOrder="0"/>
    </xf>
    <xf borderId="7" fillId="2" fontId="3" numFmtId="0" xfId="0" applyAlignment="1" applyBorder="1" applyFill="1" applyFont="1">
      <alignment readingOrder="0"/>
    </xf>
    <xf borderId="9" fillId="2" fontId="3" numFmtId="0" xfId="0" applyAlignment="1" applyBorder="1" applyFill="1" applyFont="1">
      <alignment horizontal="right" vertical="bottom"/>
    </xf>
    <xf borderId="9" fillId="3" fontId="3" numFmtId="0" xfId="0" applyAlignment="1" applyBorder="1" applyFill="1" applyFont="1">
      <alignment readingOrder="0" vertical="bottom"/>
    </xf>
    <xf borderId="11" fillId="0" fontId="1" numFmtId="0" xfId="0" applyBorder="1" applyFont="1"/>
    <xf borderId="9" fillId="0" fontId="3" numFmtId="0" xfId="0" applyBorder="1" applyFont="1"/>
    <xf borderId="10" fillId="2" fontId="3" numFmtId="0" xfId="0" applyAlignment="1" applyBorder="1" applyFill="1" applyFont="1">
      <alignment horizontal="right" readingOrder="0" vertical="bottom"/>
    </xf>
    <xf borderId="9" fillId="2" fontId="3" numFmtId="9" xfId="0" applyAlignment="1" applyBorder="1" applyFill="1" applyFont="1" applyNumberFormat="1">
      <alignment readingOrder="0"/>
    </xf>
    <xf borderId="0" fillId="0" fontId="4" numFmtId="0" xfId="0" applyAlignment="1" applyFont="1">
      <alignment readingOrder="0"/>
    </xf>
    <xf borderId="9" fillId="3" fontId="3" numFmtId="0" xfId="0" applyAlignment="1" applyBorder="1" applyFill="1" applyFont="1">
      <alignment vertical="bottom"/>
    </xf>
    <xf borderId="9" fillId="0" fontId="3" numFmtId="0" xfId="0" applyAlignment="1" applyBorder="1" applyFont="1">
      <alignment vertical="bottom"/>
    </xf>
    <xf borderId="0" fillId="2" fontId="3" numFmtId="0" xfId="0" applyAlignment="1" applyFill="1" applyFont="1">
      <alignment vertical="bottom"/>
    </xf>
    <xf borderId="12" fillId="2" fontId="3" numFmtId="0" xfId="0" applyAlignment="1" applyBorder="1" applyFill="1" applyFont="1">
      <alignment readingOrder="0" vertical="bottom"/>
    </xf>
    <xf borderId="7" fillId="2" fontId="1" numFmtId="0" xfId="0" applyAlignment="1" applyBorder="1" applyFill="1" applyFont="1">
      <alignment vertical="bottom"/>
    </xf>
    <xf borderId="8" fillId="2" fontId="3" numFmtId="0" xfId="0" applyAlignment="1" applyBorder="1" applyFill="1" applyFont="1">
      <alignment vertical="bottom"/>
    </xf>
    <xf borderId="7" fillId="2" fontId="3" numFmtId="0" xfId="0" applyAlignment="1" applyBorder="1" applyFill="1" applyFont="1">
      <alignment horizontal="right" vertical="bottom"/>
    </xf>
    <xf borderId="9" fillId="2" fontId="3" numFmtId="0" xfId="0" applyAlignment="1" applyBorder="1" applyFill="1" applyFont="1">
      <alignment horizontal="right" vertical="bottom"/>
    </xf>
    <xf borderId="9" fillId="2" fontId="3" numFmtId="0" xfId="0" applyAlignment="1" applyBorder="1" applyFill="1" applyFont="1">
      <alignment readingOrder="0" vertical="bottom"/>
    </xf>
    <xf borderId="13" fillId="0" fontId="1" numFmtId="0" xfId="0" applyBorder="1" applyFont="1"/>
    <xf borderId="7" fillId="0" fontId="3" numFmtId="1" xfId="0" applyBorder="1" applyFont="1" applyNumberFormat="1"/>
    <xf borderId="12" fillId="0" fontId="3" numFmtId="0" xfId="0" applyBorder="1" applyFont="1"/>
    <xf borderId="14" fillId="0" fontId="3" numFmtId="0" xfId="0" applyBorder="1" applyFont="1"/>
    <xf borderId="12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9" fillId="0" fontId="3" numFmtId="1" xfId="0" applyAlignment="1" applyBorder="1" applyFont="1" applyNumberFormat="1">
      <alignment readingOrder="0"/>
    </xf>
    <xf borderId="9" fillId="4" fontId="1" numFmtId="0" xfId="0" applyAlignment="1" applyBorder="1" applyFill="1" applyFont="1">
      <alignment readingOrder="0" vertical="bottom"/>
    </xf>
    <xf borderId="8" fillId="4" fontId="3" numFmtId="0" xfId="0" applyAlignment="1" applyBorder="1" applyFill="1" applyFont="1">
      <alignment readingOrder="0" vertical="bottom"/>
    </xf>
    <xf borderId="9" fillId="4" fontId="3" numFmtId="0" xfId="0" applyAlignment="1" applyBorder="1" applyFill="1" applyFont="1">
      <alignment readingOrder="0"/>
    </xf>
    <xf borderId="7" fillId="4" fontId="3" numFmtId="0" xfId="0" applyAlignment="1" applyBorder="1" applyFill="1" applyFont="1">
      <alignment readingOrder="0"/>
    </xf>
    <xf borderId="9" fillId="4" fontId="3" numFmtId="0" xfId="0" applyAlignment="1" applyBorder="1" applyFill="1" applyFont="1">
      <alignment horizontal="right" readingOrder="0" vertical="bottom"/>
    </xf>
    <xf borderId="9" fillId="4" fontId="3" numFmtId="0" xfId="0" applyAlignment="1" applyBorder="1" applyFill="1" applyFont="1">
      <alignment vertical="bottom"/>
    </xf>
    <xf borderId="9" fillId="4" fontId="3" numFmtId="0" xfId="0" applyAlignment="1" applyBorder="1" applyFill="1" applyFont="1">
      <alignment readingOrder="0" vertical="bottom"/>
    </xf>
    <xf borderId="9" fillId="4" fontId="3" numFmtId="0" xfId="0" applyAlignment="1" applyBorder="1" applyFill="1" applyFont="1">
      <alignment horizontal="right"/>
    </xf>
    <xf borderId="9" fillId="4" fontId="3" numFmtId="9" xfId="0" applyBorder="1" applyFill="1" applyFont="1" applyNumberFormat="1"/>
    <xf borderId="14" fillId="4" fontId="3" numFmtId="164" xfId="0" applyAlignment="1" applyBorder="1" applyFill="1" applyFont="1" applyNumberFormat="1">
      <alignment readingOrder="0"/>
    </xf>
    <xf borderId="9" fillId="4" fontId="3" numFmtId="0" xfId="0" applyAlignment="1" applyBorder="1" applyFill="1" applyFont="1">
      <alignment horizontal="right" readingOrder="0"/>
    </xf>
    <xf borderId="14" fillId="4" fontId="3" numFmtId="164" xfId="0" applyBorder="1" applyFill="1" applyFont="1" applyNumberFormat="1"/>
    <xf borderId="9" fillId="4" fontId="3" numFmtId="49" xfId="0" applyAlignment="1" applyBorder="1" applyFill="1" applyFont="1" applyNumberFormat="1">
      <alignment horizontal="right" readingOrder="0" vertical="bottom"/>
    </xf>
    <xf borderId="9" fillId="4" fontId="3" numFmtId="49" xfId="0" applyAlignment="1" applyBorder="1" applyFill="1" applyFont="1" applyNumberFormat="1">
      <alignment horizontal="right"/>
    </xf>
    <xf borderId="9" fillId="0" fontId="3" numFmtId="1" xfId="0" applyBorder="1" applyFont="1" applyNumberFormat="1"/>
    <xf borderId="0" fillId="4" fontId="4" numFmtId="0" xfId="0" applyAlignment="1" applyFill="1" applyFont="1">
      <alignment horizontal="right" readingOrder="0"/>
    </xf>
    <xf borderId="9" fillId="4" fontId="3" numFmtId="49" xfId="0" applyAlignment="1" applyBorder="1" applyFill="1" applyFont="1" applyNumberFormat="1">
      <alignment horizontal="right" readingOrder="0"/>
    </xf>
    <xf borderId="0" fillId="4" fontId="4" numFmtId="0" xfId="0" applyAlignment="1" applyFill="1" applyFont="1">
      <alignment readingOrder="0"/>
    </xf>
    <xf borderId="9" fillId="4" fontId="3" numFmtId="0" xfId="0" applyBorder="1" applyFill="1" applyFont="1"/>
    <xf borderId="7" fillId="4" fontId="3" numFmtId="1" xfId="0" applyAlignment="1" applyBorder="1" applyFill="1" applyFont="1" applyNumberFormat="1">
      <alignment readingOrder="0"/>
    </xf>
    <xf borderId="9" fillId="5" fontId="1" numFmtId="0" xfId="0" applyAlignment="1" applyBorder="1" applyFill="1" applyFont="1">
      <alignment readingOrder="0" vertical="bottom"/>
    </xf>
    <xf borderId="8" fillId="5" fontId="3" numFmtId="0" xfId="0" applyAlignment="1" applyBorder="1" applyFill="1" applyFont="1">
      <alignment readingOrder="0" vertical="bottom"/>
    </xf>
    <xf borderId="9" fillId="5" fontId="3" numFmtId="0" xfId="0" applyBorder="1" applyFill="1" applyFont="1"/>
    <xf borderId="7" fillId="5" fontId="3" numFmtId="1" xfId="0" applyAlignment="1" applyBorder="1" applyFill="1" applyFont="1" applyNumberFormat="1">
      <alignment readingOrder="0"/>
    </xf>
    <xf borderId="9" fillId="5" fontId="3" numFmtId="0" xfId="0" applyAlignment="1" applyBorder="1" applyFill="1" applyFont="1">
      <alignment horizontal="right" readingOrder="0" vertical="bottom"/>
    </xf>
    <xf borderId="9" fillId="5" fontId="3" numFmtId="0" xfId="0" applyAlignment="1" applyBorder="1" applyFill="1" applyFont="1">
      <alignment vertical="bottom"/>
    </xf>
    <xf borderId="15" fillId="0" fontId="1" numFmtId="0" xfId="0" applyAlignment="1" applyBorder="1" applyFont="1">
      <alignment horizontal="center"/>
    </xf>
    <xf borderId="16" fillId="0" fontId="2" numFmtId="0" xfId="0" applyBorder="1" applyFont="1"/>
    <xf borderId="9" fillId="5" fontId="3" numFmtId="0" xfId="0" applyAlignment="1" applyBorder="1" applyFill="1" applyFont="1">
      <alignment horizontal="right"/>
    </xf>
    <xf borderId="17" fillId="0" fontId="2" numFmtId="0" xfId="0" applyBorder="1" applyFont="1"/>
    <xf borderId="9" fillId="5" fontId="3" numFmtId="9" xfId="0" applyBorder="1" applyFill="1" applyFont="1" applyNumberFormat="1"/>
    <xf borderId="18" fillId="0" fontId="1" numFmtId="0" xfId="0" applyBorder="1" applyFont="1"/>
    <xf borderId="9" fillId="5" fontId="3" numFmtId="0" xfId="0" applyAlignment="1" applyBorder="1" applyFill="1" applyFont="1">
      <alignment horizontal="right" readingOrder="0"/>
    </xf>
    <xf borderId="14" fillId="5" fontId="3" numFmtId="164" xfId="0" applyAlignment="1" applyBorder="1" applyFill="1" applyFont="1" applyNumberFormat="1">
      <alignment readingOrder="0"/>
    </xf>
    <xf borderId="18" fillId="0" fontId="1" numFmtId="1" xfId="0" applyBorder="1" applyFont="1" applyNumberFormat="1"/>
    <xf borderId="4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 vertical="bottom"/>
    </xf>
    <xf borderId="18" fillId="0" fontId="1" numFmtId="0" xfId="0" applyAlignment="1" applyBorder="1" applyFont="1">
      <alignment readingOrder="0"/>
    </xf>
    <xf borderId="8" fillId="0" fontId="3" numFmtId="0" xfId="0" applyAlignment="1" applyBorder="1" applyFont="1">
      <alignment readingOrder="0" vertical="bottom"/>
    </xf>
    <xf borderId="8" fillId="6" fontId="1" numFmtId="0" xfId="0" applyAlignment="1" applyBorder="1" applyFill="1" applyFont="1">
      <alignment readingOrder="0"/>
    </xf>
    <xf borderId="7" fillId="0" fontId="3" numFmtId="0" xfId="0" applyAlignment="1" applyBorder="1" applyFont="1">
      <alignment horizontal="right" readingOrder="0" vertical="bottom"/>
    </xf>
    <xf borderId="7" fillId="0" fontId="1" numFmtId="0" xfId="0" applyBorder="1" applyFont="1"/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readingOrder="0" vertical="bottom"/>
    </xf>
    <xf borderId="7" fillId="0" fontId="1" numFmtId="13" xfId="0" applyAlignment="1" applyBorder="1" applyFont="1" applyNumberFormat="1">
      <alignment horizontal="right" readingOrder="0" vertical="bottom"/>
    </xf>
    <xf borderId="9" fillId="0" fontId="1" numFmtId="13" xfId="0" applyAlignment="1" applyBorder="1" applyFont="1" applyNumberFormat="1">
      <alignment horizontal="right" vertical="bottom"/>
    </xf>
    <xf borderId="7" fillId="0" fontId="1" numFmtId="13" xfId="0" applyBorder="1" applyFont="1" applyNumberFormat="1"/>
    <xf borderId="9" fillId="7" fontId="1" numFmtId="0" xfId="0" applyAlignment="1" applyBorder="1" applyFill="1" applyFont="1">
      <alignment readingOrder="0" vertical="bottom"/>
    </xf>
    <xf borderId="9" fillId="0" fontId="3" numFmtId="165" xfId="0" applyAlignment="1" applyBorder="1" applyFont="1" applyNumberFormat="1">
      <alignment horizontal="right" readingOrder="0" vertical="bottom"/>
    </xf>
    <xf borderId="8" fillId="7" fontId="3" numFmtId="0" xfId="0" applyAlignment="1" applyBorder="1" applyFill="1" applyFont="1">
      <alignment readingOrder="0" vertical="bottom"/>
    </xf>
    <xf borderId="9" fillId="7" fontId="3" numFmtId="0" xfId="0" applyBorder="1" applyFill="1" applyFont="1"/>
    <xf borderId="9" fillId="0" fontId="1" numFmtId="9" xfId="0" applyBorder="1" applyFont="1" applyNumberFormat="1"/>
    <xf borderId="7" fillId="7" fontId="3" numFmtId="1" xfId="0" applyAlignment="1" applyBorder="1" applyFill="1" applyFont="1" applyNumberFormat="1">
      <alignment readingOrder="0"/>
    </xf>
    <xf borderId="9" fillId="0" fontId="1" numFmtId="165" xfId="0" applyAlignment="1" applyBorder="1" applyFont="1" applyNumberFormat="1">
      <alignment readingOrder="0"/>
    </xf>
    <xf borderId="9" fillId="7" fontId="3" numFmtId="0" xfId="0" applyAlignment="1" applyBorder="1" applyFill="1" applyFont="1">
      <alignment horizontal="right"/>
    </xf>
    <xf borderId="9" fillId="0" fontId="1" numFmtId="0" xfId="0" applyBorder="1" applyFont="1"/>
    <xf borderId="9" fillId="7" fontId="3" numFmtId="0" xfId="0" applyAlignment="1" applyBorder="1" applyFill="1" applyFont="1">
      <alignment vertical="bottom"/>
    </xf>
    <xf borderId="9" fillId="0" fontId="1" numFmtId="0" xfId="0" applyAlignment="1" applyBorder="1" applyFont="1">
      <alignment readingOrder="0" vertical="bottom"/>
    </xf>
    <xf borderId="9" fillId="7" fontId="3" numFmtId="9" xfId="0" applyBorder="1" applyFill="1" applyFont="1" applyNumberFormat="1"/>
    <xf borderId="9" fillId="0" fontId="3" numFmtId="0" xfId="0" applyAlignment="1" applyBorder="1" applyFont="1">
      <alignment horizontal="right" readingOrder="0" vertical="bottom"/>
    </xf>
    <xf borderId="19" fillId="0" fontId="1" numFmtId="0" xfId="0" applyBorder="1" applyFont="1"/>
    <xf borderId="9" fillId="7" fontId="3" numFmtId="0" xfId="0" applyAlignment="1" applyBorder="1" applyFill="1" applyFont="1">
      <alignment horizontal="right" readingOrder="0"/>
    </xf>
    <xf borderId="9" fillId="7" fontId="3" numFmtId="164" xfId="0" applyAlignment="1" applyBorder="1" applyFill="1" applyFont="1" applyNumberFormat="1">
      <alignment readingOrder="0"/>
    </xf>
    <xf borderId="0" fillId="0" fontId="5" numFmtId="0" xfId="0" applyFont="1"/>
    <xf borderId="12" fillId="8" fontId="1" numFmtId="0" xfId="0" applyBorder="1" applyFill="1" applyFont="1"/>
    <xf borderId="9" fillId="0" fontId="1" numFmtId="13" xfId="0" applyAlignment="1" applyBorder="1" applyFont="1" applyNumberFormat="1">
      <alignment horizontal="right" readingOrder="0" vertical="bottom"/>
    </xf>
    <xf borderId="9" fillId="0" fontId="3" numFmtId="165" xfId="0" applyAlignment="1" applyBorder="1" applyFont="1" applyNumberFormat="1">
      <alignment horizontal="right" vertical="bottom"/>
    </xf>
    <xf borderId="9" fillId="0" fontId="1" numFmtId="13" xfId="0" applyBorder="1" applyFont="1" applyNumberFormat="1"/>
    <xf borderId="0" fillId="0" fontId="3" numFmtId="165" xfId="0" applyAlignment="1" applyFont="1" applyNumberFormat="1">
      <alignment horizontal="right" readingOrder="0" vertical="bottom"/>
    </xf>
    <xf borderId="12" fillId="9" fontId="1" numFmtId="0" xfId="0" applyBorder="1" applyFill="1" applyFont="1"/>
    <xf borderId="9" fillId="7" fontId="3" numFmtId="12" xfId="0" applyAlignment="1" applyBorder="1" applyFill="1" applyFont="1" applyNumberFormat="1">
      <alignment horizontal="right" readingOrder="0" vertical="bottom"/>
    </xf>
    <xf borderId="9" fillId="0" fontId="1" numFmtId="0" xfId="0" applyAlignment="1" applyBorder="1" applyFont="1">
      <alignment readingOrder="0"/>
    </xf>
    <xf borderId="9" fillId="7" fontId="3" numFmtId="12" xfId="0" applyAlignment="1" applyBorder="1" applyFill="1" applyFont="1" applyNumberFormat="1">
      <alignment horizontal="right"/>
    </xf>
    <xf borderId="12" fillId="10" fontId="1" numFmtId="0" xfId="0" applyBorder="1" applyFill="1" applyFont="1"/>
    <xf borderId="9" fillId="7" fontId="3" numFmtId="0" xfId="0" applyAlignment="1" applyBorder="1" applyFill="1" applyFont="1">
      <alignment horizontal="right" readingOrder="0" vertical="bottom"/>
    </xf>
    <xf borderId="0" fillId="0" fontId="6" numFmtId="165" xfId="0" applyAlignment="1" applyFont="1" applyNumberFormat="1">
      <alignment readingOrder="0"/>
    </xf>
    <xf borderId="14" fillId="7" fontId="3" numFmtId="164" xfId="0" applyAlignment="1" applyBorder="1" applyFill="1" applyFont="1" applyNumberFormat="1">
      <alignment readingOrder="0"/>
    </xf>
    <xf borderId="12" fillId="11" fontId="1" numFmtId="0" xfId="0" applyAlignment="1" applyBorder="1" applyFill="1" applyFont="1">
      <alignment readingOrder="0"/>
    </xf>
    <xf borderId="9" fillId="0" fontId="3" numFmtId="3" xfId="0" applyAlignment="1" applyBorder="1" applyFont="1" applyNumberFormat="1">
      <alignment horizontal="right" vertical="bottom"/>
    </xf>
    <xf borderId="14" fillId="7" fontId="3" numFmtId="164" xfId="0" applyBorder="1" applyFill="1" applyFont="1" applyNumberFormat="1"/>
    <xf borderId="9" fillId="0" fontId="3" numFmtId="0" xfId="0" applyAlignment="1" applyBorder="1" applyFont="1">
      <alignment horizontal="right" vertical="bottom"/>
    </xf>
    <xf borderId="9" fillId="7" fontId="3" numFmtId="0" xfId="0" applyAlignment="1" applyBorder="1" applyFill="1" applyFont="1">
      <alignment readingOrder="0"/>
    </xf>
    <xf borderId="9" fillId="0" fontId="1" numFmtId="0" xfId="0" applyAlignment="1" applyBorder="1" applyFont="1">
      <alignment vertical="bottom"/>
    </xf>
    <xf borderId="12" fillId="12" fontId="1" numFmtId="0" xfId="0" applyBorder="1" applyFill="1" applyFont="1"/>
    <xf borderId="12" fillId="0" fontId="3" numFmtId="0" xfId="0" applyAlignment="1" applyBorder="1" applyFont="1">
      <alignment vertical="bottom"/>
    </xf>
    <xf borderId="7" fillId="7" fontId="3" numFmtId="1" xfId="0" applyBorder="1" applyFill="1" applyFont="1" applyNumberFormat="1"/>
    <xf borderId="9" fillId="7" fontId="3" numFmtId="0" xfId="0" applyAlignment="1" applyBorder="1" applyFill="1" applyFont="1">
      <alignment horizontal="right" vertical="bottom"/>
    </xf>
    <xf borderId="12" fillId="13" fontId="1" numFmtId="0" xfId="0" applyBorder="1" applyFill="1" applyFont="1"/>
    <xf borderId="10" fillId="0" fontId="3" numFmtId="0" xfId="0" applyAlignment="1" applyBorder="1" applyFont="1">
      <alignment horizontal="right" readingOrder="0" vertical="bottom"/>
    </xf>
    <xf borderId="14" fillId="0" fontId="3" numFmtId="0" xfId="0" applyAlignment="1" applyBorder="1" applyFont="1">
      <alignment readingOrder="0"/>
    </xf>
    <xf borderId="12" fillId="14" fontId="1" numFmtId="0" xfId="0" applyBorder="1" applyFill="1" applyFont="1"/>
    <xf borderId="8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2" fillId="15" fontId="1" numFmtId="0" xfId="0" applyBorder="1" applyFill="1" applyFont="1"/>
    <xf borderId="12" fillId="0" fontId="3" numFmtId="0" xfId="0" applyAlignment="1" applyBorder="1" applyFont="1">
      <alignment readingOrder="0" vertical="bottom"/>
    </xf>
    <xf borderId="9" fillId="7" fontId="3" numFmtId="0" xfId="0" applyAlignment="1" applyBorder="1" applyFill="1" applyFont="1">
      <alignment readingOrder="0" vertical="bottom"/>
    </xf>
    <xf borderId="12" fillId="0" fontId="1" numFmtId="0" xfId="0" applyBorder="1" applyFont="1"/>
    <xf borderId="12" fillId="16" fontId="1" numFmtId="0" xfId="0" applyAlignment="1" applyBorder="1" applyFill="1" applyFont="1">
      <alignment readingOrder="0"/>
    </xf>
    <xf borderId="9" fillId="7" fontId="3" numFmtId="0" xfId="0" applyAlignment="1" applyBorder="1" applyFill="1" applyFont="1">
      <alignment vertical="bottom"/>
    </xf>
    <xf borderId="12" fillId="17" fontId="1" numFmtId="0" xfId="0" applyAlignment="1" applyBorder="1" applyFill="1" applyFont="1">
      <alignment readingOrder="0"/>
    </xf>
    <xf borderId="12" fillId="18" fontId="1" numFmtId="0" xfId="0" applyBorder="1" applyFill="1" applyFont="1"/>
    <xf borderId="9" fillId="0" fontId="3" numFmtId="0" xfId="0" applyAlignment="1" applyBorder="1" applyFont="1">
      <alignment readingOrder="0" vertical="bottom"/>
    </xf>
    <xf borderId="9" fillId="0" fontId="3" numFmtId="165" xfId="0" applyAlignment="1" applyBorder="1" applyFont="1" applyNumberFormat="1">
      <alignment readingOrder="0"/>
    </xf>
    <xf borderId="8" fillId="12" fontId="1" numFmtId="0" xfId="0" applyAlignment="1" applyBorder="1" applyFill="1" applyFont="1">
      <alignment vertical="bottom"/>
    </xf>
    <xf borderId="9" fillId="7" fontId="3" numFmtId="3" xfId="0" applyAlignment="1" applyBorder="1" applyFill="1" applyFont="1" applyNumberFormat="1">
      <alignment horizontal="right" readingOrder="0" vertical="bottom"/>
    </xf>
    <xf borderId="9" fillId="0" fontId="1" numFmtId="0" xfId="0" applyAlignment="1" applyBorder="1" applyFont="1">
      <alignment horizontal="right" readingOrder="0" vertical="bottom"/>
    </xf>
    <xf borderId="9" fillId="7" fontId="3" numFmtId="3" xfId="0" applyAlignment="1" applyBorder="1" applyFill="1" applyFont="1" applyNumberFormat="1">
      <alignment horizontal="right"/>
    </xf>
    <xf borderId="9" fillId="7" fontId="3" numFmtId="3" xfId="0" applyAlignment="1" applyBorder="1" applyFill="1" applyFont="1" applyNumberFormat="1">
      <alignment readingOrder="0" vertical="bottom"/>
    </xf>
    <xf borderId="8" fillId="19" fontId="1" numFmtId="0" xfId="0" applyAlignment="1" applyBorder="1" applyFill="1" applyFont="1">
      <alignment vertical="bottom"/>
    </xf>
    <xf borderId="9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readingOrder="0"/>
    </xf>
    <xf borderId="9" fillId="20" fontId="1" numFmtId="0" xfId="0" applyAlignment="1" applyBorder="1" applyFill="1" applyFont="1">
      <alignment readingOrder="0" vertical="bottom"/>
    </xf>
    <xf borderId="8" fillId="20" fontId="3" numFmtId="0" xfId="0" applyAlignment="1" applyBorder="1" applyFill="1" applyFont="1">
      <alignment readingOrder="0" vertical="bottom"/>
    </xf>
    <xf borderId="9" fillId="20" fontId="3" numFmtId="0" xfId="0" applyAlignment="1" applyBorder="1" applyFill="1" applyFont="1">
      <alignment readingOrder="0"/>
    </xf>
    <xf borderId="7" fillId="20" fontId="3" numFmtId="1" xfId="0" applyAlignment="1" applyBorder="1" applyFill="1" applyFont="1" applyNumberFormat="1">
      <alignment readingOrder="0"/>
    </xf>
    <xf borderId="9" fillId="20" fontId="3" numFmtId="0" xfId="0" applyAlignment="1" applyBorder="1" applyFill="1" applyFont="1">
      <alignment horizontal="right" readingOrder="0" vertical="bottom"/>
    </xf>
    <xf borderId="9" fillId="20" fontId="3" numFmtId="0" xfId="0" applyAlignment="1" applyBorder="1" applyFill="1" applyFont="1">
      <alignment horizontal="right"/>
    </xf>
    <xf borderId="9" fillId="0" fontId="3" numFmtId="49" xfId="0" applyAlignment="1" applyBorder="1" applyFont="1" applyNumberFormat="1">
      <alignment horizontal="right" vertical="bottom"/>
    </xf>
    <xf borderId="9" fillId="20" fontId="3" numFmtId="9" xfId="0" applyBorder="1" applyFill="1" applyFont="1" applyNumberFormat="1"/>
    <xf borderId="9" fillId="0" fontId="3" numFmtId="49" xfId="0" applyBorder="1" applyFont="1" applyNumberFormat="1"/>
    <xf borderId="9" fillId="20" fontId="3" numFmtId="164" xfId="0" applyAlignment="1" applyBorder="1" applyFill="1" applyFont="1" applyNumberFormat="1">
      <alignment readingOrder="0"/>
    </xf>
    <xf borderId="9" fillId="20" fontId="3" numFmtId="0" xfId="0" applyAlignment="1" applyBorder="1" applyFill="1" applyFont="1">
      <alignment readingOrder="0" vertical="bottom"/>
    </xf>
    <xf borderId="9" fillId="3" fontId="3" numFmtId="0" xfId="0" applyAlignment="1" applyBorder="1" applyFill="1" applyFont="1">
      <alignment horizontal="right"/>
    </xf>
    <xf borderId="9" fillId="3" fontId="3" numFmtId="9" xfId="0" applyBorder="1" applyFill="1" applyFont="1" applyNumberFormat="1"/>
    <xf borderId="7" fillId="0" fontId="3" numFmtId="1" xfId="0" applyAlignment="1" applyBorder="1" applyFont="1" applyNumberFormat="1">
      <alignment readingOrder="0"/>
    </xf>
    <xf borderId="9" fillId="0" fontId="3" numFmtId="12" xfId="0" applyAlignment="1" applyBorder="1" applyFont="1" applyNumberFormat="1">
      <alignment horizontal="right" vertical="bottom"/>
    </xf>
    <xf borderId="9" fillId="0" fontId="3" numFmtId="12" xfId="0" applyBorder="1" applyFont="1" applyNumberFormat="1"/>
    <xf borderId="14" fillId="0" fontId="3" numFmtId="164" xfId="0" applyAlignment="1" applyBorder="1" applyFont="1" applyNumberFormat="1">
      <alignment readingOrder="0"/>
    </xf>
    <xf borderId="9" fillId="20" fontId="1" numFmtId="0" xfId="0" applyAlignment="1" applyBorder="1" applyFill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7" fillId="0" fontId="3" numFmtId="1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horizontal="right" vertical="bottom"/>
    </xf>
    <xf borderId="9" fillId="3" fontId="3" numFmtId="0" xfId="0" applyAlignment="1" applyBorder="1" applyFill="1" applyFont="1">
      <alignment horizontal="right" vertical="bottom"/>
    </xf>
    <xf borderId="9" fillId="3" fontId="3" numFmtId="9" xfId="0" applyAlignment="1" applyBorder="1" applyFill="1" applyFont="1" applyNumberFormat="1">
      <alignment horizontal="right" vertical="bottom"/>
    </xf>
    <xf borderId="14" fillId="0" fontId="3" numFmtId="164" xfId="0" applyAlignment="1" applyBorder="1" applyFont="1" applyNumberFormat="1">
      <alignment horizontal="right" vertical="bottom"/>
    </xf>
    <xf borderId="9" fillId="21" fontId="1" numFmtId="0" xfId="0" applyAlignment="1" applyBorder="1" applyFill="1" applyFont="1">
      <alignment readingOrder="0" vertical="bottom"/>
    </xf>
    <xf borderId="8" fillId="21" fontId="3" numFmtId="0" xfId="0" applyAlignment="1" applyBorder="1" applyFill="1" applyFont="1">
      <alignment readingOrder="0" vertical="bottom"/>
    </xf>
    <xf borderId="9" fillId="21" fontId="3" numFmtId="0" xfId="0" applyAlignment="1" applyBorder="1" applyFill="1" applyFont="1">
      <alignment readingOrder="0"/>
    </xf>
    <xf borderId="7" fillId="21" fontId="3" numFmtId="1" xfId="0" applyAlignment="1" applyBorder="1" applyFill="1" applyFont="1" applyNumberFormat="1">
      <alignment readingOrder="0"/>
    </xf>
    <xf borderId="9" fillId="21" fontId="3" numFmtId="0" xfId="0" applyAlignment="1" applyBorder="1" applyFill="1" applyFont="1">
      <alignment horizontal="right" readingOrder="0" vertical="bottom"/>
    </xf>
    <xf borderId="9" fillId="21" fontId="3" numFmtId="0" xfId="0" applyAlignment="1" applyBorder="1" applyFill="1" applyFont="1">
      <alignment vertical="bottom"/>
    </xf>
    <xf borderId="9" fillId="21" fontId="3" numFmtId="0" xfId="0" applyAlignment="1" applyBorder="1" applyFill="1" applyFont="1">
      <alignment horizontal="right"/>
    </xf>
    <xf borderId="9" fillId="21" fontId="3" numFmtId="9" xfId="0" applyBorder="1" applyFill="1" applyFont="1" applyNumberFormat="1"/>
    <xf borderId="9" fillId="21" fontId="3" numFmtId="0" xfId="0" applyBorder="1" applyFill="1" applyFont="1"/>
    <xf borderId="14" fillId="21" fontId="3" numFmtId="164" xfId="0" applyAlignment="1" applyBorder="1" applyFill="1" applyFont="1" applyNumberFormat="1">
      <alignment readingOrder="0"/>
    </xf>
    <xf borderId="9" fillId="22" fontId="1" numFmtId="0" xfId="0" applyAlignment="1" applyBorder="1" applyFill="1" applyFont="1">
      <alignment readingOrder="0" vertical="bottom"/>
    </xf>
    <xf borderId="8" fillId="22" fontId="3" numFmtId="0" xfId="0" applyAlignment="1" applyBorder="1" applyFill="1" applyFont="1">
      <alignment readingOrder="0" vertical="bottom"/>
    </xf>
    <xf borderId="9" fillId="22" fontId="3" numFmtId="0" xfId="0" applyAlignment="1" applyBorder="1" applyFill="1" applyFont="1">
      <alignment readingOrder="0" vertical="bottom"/>
    </xf>
    <xf borderId="7" fillId="22" fontId="3" numFmtId="1" xfId="0" applyAlignment="1" applyBorder="1" applyFill="1" applyFont="1" applyNumberFormat="1">
      <alignment horizontal="right" vertical="bottom"/>
    </xf>
    <xf borderId="9" fillId="22" fontId="3" numFmtId="0" xfId="0" applyAlignment="1" applyBorder="1" applyFill="1" applyFont="1">
      <alignment horizontal="right" vertical="bottom"/>
    </xf>
    <xf borderId="9" fillId="22" fontId="3" numFmtId="0" xfId="0" applyAlignment="1" applyBorder="1" applyFill="1" applyFont="1">
      <alignment vertical="bottom"/>
    </xf>
    <xf borderId="9" fillId="22" fontId="3" numFmtId="0" xfId="0" applyAlignment="1" applyBorder="1" applyFill="1" applyFont="1">
      <alignment horizontal="right"/>
    </xf>
    <xf borderId="9" fillId="22" fontId="3" numFmtId="9" xfId="0" applyBorder="1" applyFill="1" applyFont="1" applyNumberFormat="1"/>
    <xf borderId="9" fillId="22" fontId="3" numFmtId="0" xfId="0" applyBorder="1" applyFill="1" applyFont="1"/>
    <xf borderId="14" fillId="22" fontId="3" numFmtId="164" xfId="0" applyAlignment="1" applyBorder="1" applyFill="1" applyFont="1" applyNumberFormat="1">
      <alignment readingOrder="0"/>
    </xf>
    <xf borderId="14" fillId="22" fontId="3" numFmtId="164" xfId="0" applyBorder="1" applyFill="1" applyFont="1" applyNumberFormat="1"/>
    <xf borderId="8" fillId="22" fontId="3" numFmtId="0" xfId="0" applyAlignment="1" applyBorder="1" applyFill="1" applyFont="1">
      <alignment vertical="bottom"/>
    </xf>
    <xf borderId="8" fillId="12" fontId="3" numFmtId="0" xfId="0" applyAlignment="1" applyBorder="1" applyFill="1" applyFont="1">
      <alignment vertical="bottom"/>
    </xf>
    <xf borderId="9" fillId="0" fontId="3" numFmtId="3" xfId="0" applyAlignment="1" applyBorder="1" applyFont="1" applyNumberFormat="1">
      <alignment horizontal="right" readingOrder="0" vertical="bottom"/>
    </xf>
    <xf borderId="9" fillId="0" fontId="3" numFmtId="3" xfId="0" applyBorder="1" applyFont="1" applyNumberFormat="1"/>
    <xf borderId="7" fillId="22" fontId="3" numFmtId="166" xfId="0" applyAlignment="1" applyBorder="1" applyFill="1" applyFont="1" applyNumberFormat="1">
      <alignment horizontal="right" vertical="bottom"/>
    </xf>
    <xf borderId="9" fillId="22" fontId="3" numFmtId="0" xfId="0" applyAlignment="1" applyBorder="1" applyFill="1" applyFont="1">
      <alignment horizontal="right" readingOrder="0" vertical="bottom"/>
    </xf>
    <xf borderId="9" fillId="0" fontId="3" numFmtId="3" xfId="0" applyAlignment="1" applyBorder="1" applyFont="1" applyNumberFormat="1">
      <alignment readingOrder="0" vertical="bottom"/>
    </xf>
    <xf borderId="7" fillId="0" fontId="1" numFmtId="0" xfId="0" applyAlignment="1" applyBorder="1" applyFont="1">
      <alignment vertical="bottom"/>
    </xf>
    <xf borderId="9" fillId="22" fontId="3" numFmtId="0" xfId="0" applyAlignment="1" applyBorder="1" applyFill="1" applyFont="1">
      <alignment horizontal="right" vertical="bottom"/>
    </xf>
    <xf borderId="7" fillId="22" fontId="3" numFmtId="1" xfId="0" applyAlignment="1" applyBorder="1" applyFill="1" applyFont="1" applyNumberFormat="1">
      <alignment horizontal="right" readingOrder="0" vertical="bottom"/>
    </xf>
    <xf borderId="9" fillId="23" fontId="1" numFmtId="0" xfId="0" applyAlignment="1" applyBorder="1" applyFill="1" applyFont="1">
      <alignment readingOrder="0" vertical="bottom"/>
    </xf>
    <xf borderId="8" fillId="23" fontId="3" numFmtId="0" xfId="0" applyAlignment="1" applyBorder="1" applyFill="1" applyFont="1">
      <alignment readingOrder="0" vertical="bottom"/>
    </xf>
    <xf borderId="9" fillId="23" fontId="3" numFmtId="0" xfId="0" applyAlignment="1" applyBorder="1" applyFill="1" applyFont="1">
      <alignment readingOrder="0" vertical="bottom"/>
    </xf>
    <xf borderId="7" fillId="23" fontId="3" numFmtId="1" xfId="0" applyAlignment="1" applyBorder="1" applyFill="1" applyFont="1" applyNumberFormat="1">
      <alignment horizontal="right" vertical="bottom"/>
    </xf>
    <xf borderId="9" fillId="23" fontId="3" numFmtId="0" xfId="0" applyAlignment="1" applyBorder="1" applyFill="1" applyFont="1">
      <alignment horizontal="right" readingOrder="0" vertical="bottom"/>
    </xf>
    <xf borderId="9" fillId="23" fontId="3" numFmtId="0" xfId="0" applyAlignment="1" applyBorder="1" applyFill="1" applyFont="1">
      <alignment horizontal="right"/>
    </xf>
    <xf borderId="9" fillId="23" fontId="3" numFmtId="9" xfId="0" applyBorder="1" applyFill="1" applyFont="1" applyNumberFormat="1"/>
    <xf borderId="9" fillId="23" fontId="3" numFmtId="0" xfId="0" applyBorder="1" applyFill="1" applyFont="1"/>
    <xf borderId="14" fillId="23" fontId="3" numFmtId="164" xfId="0" applyAlignment="1" applyBorder="1" applyFill="1" applyFont="1" applyNumberFormat="1">
      <alignment readingOrder="0"/>
    </xf>
    <xf borderId="9" fillId="23" fontId="3" numFmtId="0" xfId="0" applyAlignment="1" applyBorder="1" applyFill="1" applyFont="1">
      <alignment vertical="bottom"/>
    </xf>
    <xf borderId="10" fillId="0" fontId="3" numFmtId="0" xfId="0" applyAlignment="1" applyBorder="1" applyFont="1">
      <alignment horizontal="right" vertical="bottom"/>
    </xf>
    <xf borderId="9" fillId="23" fontId="3" numFmtId="0" xfId="0" applyAlignment="1" applyBorder="1" applyFill="1" applyFont="1">
      <alignment readingOrder="0"/>
    </xf>
    <xf borderId="7" fillId="23" fontId="3" numFmtId="1" xfId="0" applyAlignment="1" applyBorder="1" applyFill="1" applyFont="1" applyNumberFormat="1">
      <alignment readingOrder="0"/>
    </xf>
    <xf borderId="7" fillId="23" fontId="3" numFmtId="0" xfId="0" applyAlignment="1" applyBorder="1" applyFill="1" applyFont="1">
      <alignment readingOrder="0"/>
    </xf>
    <xf borderId="7" fillId="23" fontId="3" numFmtId="1" xfId="0" applyBorder="1" applyFill="1" applyFont="1" applyNumberFormat="1"/>
    <xf borderId="7" fillId="23" fontId="3" numFmtId="0" xfId="0" applyBorder="1" applyFill="1" applyFont="1"/>
    <xf borderId="7" fillId="23" fontId="3" numFmtId="164" xfId="0" applyAlignment="1" applyBorder="1" applyFill="1" applyFont="1" applyNumberFormat="1">
      <alignment readingOrder="0"/>
    </xf>
    <xf borderId="7" fillId="23" fontId="3" numFmtId="164" xfId="0" applyBorder="1" applyFill="1" applyFont="1" applyNumberFormat="1"/>
    <xf borderId="7" fillId="23" fontId="3" numFmtId="166" xfId="0" applyAlignment="1" applyBorder="1" applyFill="1" applyFont="1" applyNumberFormat="1">
      <alignment horizontal="right" vertical="bottom"/>
    </xf>
    <xf borderId="20" fillId="23" fontId="3" numFmtId="164" xfId="0" applyBorder="1" applyFill="1" applyFont="1" applyNumberFormat="1"/>
    <xf borderId="9" fillId="0" fontId="3" numFmtId="49" xfId="0" applyAlignment="1" applyBorder="1" applyFont="1" applyNumberFormat="1">
      <alignment horizontal="right" readingOrder="0" vertical="bottom"/>
    </xf>
    <xf borderId="9" fillId="3" fontId="3" numFmtId="49" xfId="0" applyAlignment="1" applyBorder="1" applyFill="1" applyFont="1" applyNumberFormat="1">
      <alignment horizontal="right"/>
    </xf>
    <xf borderId="7" fillId="0" fontId="3" numFmtId="164" xfId="0" applyBorder="1" applyFont="1" applyNumberFormat="1"/>
    <xf borderId="14" fillId="0" fontId="3" numFmtId="164" xfId="0" applyBorder="1" applyFont="1" applyNumberFormat="1"/>
    <xf borderId="8" fillId="24" fontId="3" numFmtId="0" xfId="0" applyAlignment="1" applyBorder="1" applyFill="1" applyFont="1">
      <alignment vertical="bottom"/>
    </xf>
    <xf borderId="9" fillId="0" fontId="3" numFmtId="1" xfId="0" applyAlignment="1" applyBorder="1" applyFont="1" applyNumberFormat="1">
      <alignment horizontal="right"/>
    </xf>
    <xf borderId="9" fillId="0" fontId="3" numFmtId="0" xfId="0" applyAlignment="1" applyBorder="1" applyFont="1">
      <alignment horizontal="right"/>
    </xf>
    <xf borderId="20" fillId="0" fontId="3" numFmtId="0" xfId="0" applyBorder="1" applyFont="1"/>
    <xf borderId="7" fillId="0" fontId="3" numFmtId="0" xfId="0" applyAlignment="1" applyBorder="1" applyFont="1">
      <alignment horizontal="right" vertical="bottom"/>
    </xf>
    <xf borderId="9" fillId="0" fontId="3" numFmtId="167" xfId="0" applyAlignment="1" applyBorder="1" applyFont="1" applyNumberFormat="1">
      <alignment horizontal="right" vertical="bottom"/>
    </xf>
    <xf borderId="9" fillId="0" fontId="3" numFmtId="167" xfId="0" applyBorder="1" applyFont="1" applyNumberFormat="1"/>
    <xf borderId="9" fillId="25" fontId="3" numFmtId="9" xfId="0" applyBorder="1" applyFill="1" applyFont="1" applyNumberFormat="1"/>
    <xf borderId="8" fillId="26" fontId="3" numFmtId="0" xfId="0" applyAlignment="1" applyBorder="1" applyFill="1" applyFont="1">
      <alignment vertical="bottom"/>
    </xf>
    <xf borderId="10" fillId="0" fontId="3" numFmtId="49" xfId="0" applyAlignment="1" applyBorder="1" applyFont="1" applyNumberFormat="1">
      <alignment horizontal="right" vertical="bottom"/>
    </xf>
    <xf borderId="8" fillId="0" fontId="3" numFmtId="0" xfId="0" applyBorder="1" applyFont="1"/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21" fillId="0" fontId="1" numFmtId="0" xfId="0" applyBorder="1" applyFont="1"/>
  </cellXfs>
  <cellStyles count="1">
    <cellStyle xfId="0" name="Normal" builtinId="0"/>
  </cellStyles>
  <dxfs count="8">
    <dxf>
      <font>
        <color theme="0"/>
      </font>
      <fill>
        <patternFill patternType="solid">
          <fgColor rgb="FFFF0000"/>
          <bgColor rgb="FFFF0000"/>
        </patternFill>
      </fill>
      <border/>
    </dxf>
    <dxf>
      <font>
        <color theme="1"/>
      </font>
      <fill>
        <patternFill patternType="solid">
          <fgColor rgb="FFFFC000"/>
          <bgColor rgb="FFFFC000"/>
        </patternFill>
      </fill>
      <border/>
    </dxf>
    <dxf>
      <font>
        <color theme="0"/>
      </font>
      <fill>
        <patternFill patternType="solid">
          <fgColor rgb="FF92D050"/>
          <bgColor rgb="FF92D05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Gráfico1 2. Top 5 Herramientas 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2. Top 5 Herramientas con Mayor Uso (SALIDA)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'Gráfico1 2. Top 5 Herramientas '!$B$3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'Gráfico1 2. Top 5 Herramientas '!$A$4:$A$8</c:f>
            </c:strRef>
          </c:cat>
          <c:val>
            <c:numRef>
              <c:f>'Gráfico1 2. Top 5 Herramientas '!$B$4:$B$8</c:f>
              <c:numCache/>
            </c:numRef>
          </c:val>
        </c:ser>
        <c:axId val="2037024541"/>
        <c:axId val="1374696299"/>
      </c:barChart>
      <c:catAx>
        <c:axId val="20370245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HERRAMIENTA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4696299"/>
      </c:catAx>
      <c:valAx>
        <c:axId val="13746962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SALIDA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702454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600075</xdr:colOff>
      <xdr:row>0</xdr:row>
      <xdr:rowOff>447675</xdr:rowOff>
    </xdr:from>
    <xdr:ext cx="7181850" cy="4305300"/>
    <xdr:graphicFrame>
      <xdr:nvGraphicFramePr>
        <xdr:cNvPr id="121894576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3:B8" displayName="Tabla_1" name="Tabla_1" id="1">
  <tableColumns count="2">
    <tableColumn name="HERRAMIENTA" id="1"/>
    <tableColumn name="SALIDA" id="2"/>
  </tableColumns>
  <tableStyleInfo name="Gráfico1 2. Top 5 Herramienta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86"/>
    <col customWidth="1" min="3" max="3" width="29.43"/>
    <col customWidth="1" min="4" max="4" width="15.57"/>
    <col customWidth="1" min="5" max="10" width="10.71"/>
    <col customWidth="1" min="11" max="11" width="30.0"/>
    <col customWidth="1" min="12" max="26" width="10.71"/>
  </cols>
  <sheetData>
    <row r="2"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>
      <c r="B3" s="5" t="s">
        <v>4</v>
      </c>
      <c r="C3" s="5" t="s">
        <v>5</v>
      </c>
      <c r="D3" s="5" t="s">
        <v>6</v>
      </c>
      <c r="E3" s="6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7" t="s">
        <v>14</v>
      </c>
      <c r="M3" s="9" t="s">
        <v>16</v>
      </c>
    </row>
    <row r="4">
      <c r="B4" s="10" t="s">
        <v>17</v>
      </c>
      <c r="C4" s="12" t="s">
        <v>19</v>
      </c>
      <c r="D4" s="14"/>
      <c r="E4" s="15">
        <v>1.0</v>
      </c>
      <c r="F4" s="17">
        <v>7.0</v>
      </c>
      <c r="G4" s="14"/>
      <c r="H4" s="14"/>
      <c r="I4" s="22">
        <f t="shared" ref="I4:I31" si="1">+F4+G4-H4</f>
        <v>7</v>
      </c>
      <c r="J4" s="25">
        <f t="shared" ref="J4:J31" si="2">+IF(E4=0,0,MIN(MAX((I4-E4)/E4,0),1))</f>
        <v>1</v>
      </c>
      <c r="K4" s="14"/>
      <c r="L4" s="14"/>
      <c r="M4" s="29" t="str">
        <f t="shared" ref="M4:M31" si="3">+IF(J4=0,"CRITICO",IF(J4&lt;0.5,"ALERTA","BIEN"))</f>
        <v>BIEN</v>
      </c>
    </row>
    <row r="5">
      <c r="B5" s="10" t="s">
        <v>17</v>
      </c>
      <c r="C5" s="12" t="s">
        <v>27</v>
      </c>
      <c r="D5" s="14"/>
      <c r="E5" s="14">
        <v>1.0</v>
      </c>
      <c r="F5" s="26">
        <v>1.0</v>
      </c>
      <c r="G5" s="14"/>
      <c r="H5" s="14"/>
      <c r="I5" s="22">
        <f t="shared" si="1"/>
        <v>1</v>
      </c>
      <c r="J5" s="25">
        <f t="shared" si="2"/>
        <v>0</v>
      </c>
      <c r="K5" s="14"/>
      <c r="L5" s="14"/>
      <c r="M5" s="29" t="str">
        <f t="shared" si="3"/>
        <v>CRITICO</v>
      </c>
    </row>
    <row r="6">
      <c r="B6" s="10" t="s">
        <v>17</v>
      </c>
      <c r="C6" s="12" t="s">
        <v>32</v>
      </c>
      <c r="D6" s="14"/>
      <c r="E6" s="14">
        <v>1.0</v>
      </c>
      <c r="F6" s="26">
        <v>1.0</v>
      </c>
      <c r="G6" s="14"/>
      <c r="H6" s="14"/>
      <c r="I6" s="22">
        <f t="shared" si="1"/>
        <v>1</v>
      </c>
      <c r="J6" s="25">
        <f t="shared" si="2"/>
        <v>0</v>
      </c>
      <c r="K6" s="14"/>
      <c r="L6" s="14"/>
      <c r="M6" s="29" t="str">
        <f t="shared" si="3"/>
        <v>CRITICO</v>
      </c>
    </row>
    <row r="7">
      <c r="B7" s="10" t="s">
        <v>17</v>
      </c>
      <c r="C7" s="12" t="s">
        <v>35</v>
      </c>
      <c r="D7" s="14"/>
      <c r="E7" s="14">
        <v>1.0</v>
      </c>
      <c r="F7" s="26">
        <v>1.0</v>
      </c>
      <c r="G7" s="14"/>
      <c r="H7" s="15">
        <v>1.0</v>
      </c>
      <c r="I7" s="22">
        <f t="shared" si="1"/>
        <v>0</v>
      </c>
      <c r="J7" s="25">
        <f t="shared" si="2"/>
        <v>0</v>
      </c>
      <c r="K7" s="14"/>
      <c r="L7" s="14"/>
      <c r="M7" s="29" t="str">
        <f t="shared" si="3"/>
        <v>CRITICO</v>
      </c>
    </row>
    <row r="8">
      <c r="B8" s="10" t="s">
        <v>17</v>
      </c>
      <c r="C8" s="12" t="s">
        <v>37</v>
      </c>
      <c r="D8" s="14"/>
      <c r="E8" s="14">
        <v>1.0</v>
      </c>
      <c r="F8" s="26">
        <v>1.0</v>
      </c>
      <c r="G8" s="14"/>
      <c r="H8" s="14"/>
      <c r="I8" s="22">
        <f t="shared" si="1"/>
        <v>1</v>
      </c>
      <c r="J8" s="25">
        <f t="shared" si="2"/>
        <v>0</v>
      </c>
      <c r="K8" s="14"/>
      <c r="L8" s="14"/>
      <c r="M8" s="29" t="str">
        <f t="shared" si="3"/>
        <v>CRITICO</v>
      </c>
    </row>
    <row r="9">
      <c r="B9" s="10" t="s">
        <v>17</v>
      </c>
      <c r="C9" s="12" t="s">
        <v>43</v>
      </c>
      <c r="D9" s="14"/>
      <c r="E9" s="14">
        <v>1.0</v>
      </c>
      <c r="F9" s="17">
        <v>3.0</v>
      </c>
      <c r="G9" s="14"/>
      <c r="H9" s="14"/>
      <c r="I9" s="22">
        <f t="shared" si="1"/>
        <v>3</v>
      </c>
      <c r="J9" s="25">
        <f t="shared" si="2"/>
        <v>1</v>
      </c>
      <c r="K9" s="14"/>
      <c r="L9" s="14"/>
      <c r="M9" s="29" t="str">
        <f t="shared" si="3"/>
        <v>BIEN</v>
      </c>
    </row>
    <row r="10">
      <c r="B10" s="10" t="s">
        <v>17</v>
      </c>
      <c r="C10" s="12" t="s">
        <v>47</v>
      </c>
      <c r="D10" s="14"/>
      <c r="E10" s="14">
        <v>1.0</v>
      </c>
      <c r="F10" s="17">
        <v>1.0</v>
      </c>
      <c r="G10" s="14"/>
      <c r="H10" s="14"/>
      <c r="I10" s="22">
        <f t="shared" si="1"/>
        <v>1</v>
      </c>
      <c r="J10" s="25">
        <f t="shared" si="2"/>
        <v>0</v>
      </c>
      <c r="K10" s="14"/>
      <c r="L10" s="14"/>
      <c r="M10" s="29" t="str">
        <f t="shared" si="3"/>
        <v>CRITICO</v>
      </c>
    </row>
    <row r="11">
      <c r="B11" s="10" t="s">
        <v>17</v>
      </c>
      <c r="C11" s="12" t="s">
        <v>53</v>
      </c>
      <c r="D11" s="14"/>
      <c r="E11" s="14">
        <v>1.0</v>
      </c>
      <c r="F11" s="17">
        <v>1.0</v>
      </c>
      <c r="G11" s="14"/>
      <c r="H11" s="14"/>
      <c r="I11" s="22">
        <f t="shared" si="1"/>
        <v>1</v>
      </c>
      <c r="J11" s="25">
        <f t="shared" si="2"/>
        <v>0</v>
      </c>
      <c r="K11" s="14"/>
      <c r="L11" s="14"/>
      <c r="M11" s="29" t="str">
        <f t="shared" si="3"/>
        <v>CRITICO</v>
      </c>
    </row>
    <row r="12">
      <c r="B12" s="10" t="s">
        <v>17</v>
      </c>
      <c r="C12" s="12" t="s">
        <v>57</v>
      </c>
      <c r="D12" s="14"/>
      <c r="E12" s="14">
        <v>1.0</v>
      </c>
      <c r="F12" s="17">
        <v>1.0</v>
      </c>
      <c r="G12" s="14"/>
      <c r="H12" s="14"/>
      <c r="I12" s="22">
        <f t="shared" si="1"/>
        <v>1</v>
      </c>
      <c r="J12" s="25">
        <f t="shared" si="2"/>
        <v>0</v>
      </c>
      <c r="K12" s="14"/>
      <c r="L12" s="14"/>
      <c r="M12" s="29" t="str">
        <f t="shared" si="3"/>
        <v>CRITICO</v>
      </c>
    </row>
    <row r="13">
      <c r="B13" s="10" t="s">
        <v>17</v>
      </c>
      <c r="C13" s="12" t="s">
        <v>62</v>
      </c>
      <c r="D13" s="14"/>
      <c r="E13" s="14">
        <v>1.0</v>
      </c>
      <c r="F13" s="26">
        <v>1.0</v>
      </c>
      <c r="G13" s="14"/>
      <c r="H13" s="14"/>
      <c r="I13" s="22">
        <f t="shared" si="1"/>
        <v>1</v>
      </c>
      <c r="J13" s="25">
        <f t="shared" si="2"/>
        <v>0</v>
      </c>
      <c r="K13" s="14"/>
      <c r="L13" s="14"/>
      <c r="M13" s="29" t="str">
        <f t="shared" si="3"/>
        <v>CRITICO</v>
      </c>
    </row>
    <row r="14">
      <c r="B14" s="10" t="s">
        <v>17</v>
      </c>
      <c r="C14" s="36" t="s">
        <v>64</v>
      </c>
      <c r="D14" s="14"/>
      <c r="E14" s="14">
        <v>1.0</v>
      </c>
      <c r="F14" s="26">
        <v>1.0</v>
      </c>
      <c r="G14" s="14"/>
      <c r="H14" s="14"/>
      <c r="I14" s="22">
        <f t="shared" si="1"/>
        <v>1</v>
      </c>
      <c r="J14" s="25">
        <f t="shared" si="2"/>
        <v>0</v>
      </c>
      <c r="K14" s="14"/>
      <c r="L14" s="14"/>
      <c r="M14" s="29" t="str">
        <f t="shared" si="3"/>
        <v>CRITICO</v>
      </c>
    </row>
    <row r="15">
      <c r="B15" s="37" t="s">
        <v>17</v>
      </c>
      <c r="C15" s="36" t="s">
        <v>68</v>
      </c>
      <c r="D15" s="38"/>
      <c r="E15" s="14">
        <v>1.0</v>
      </c>
      <c r="F15" s="17">
        <v>4.0</v>
      </c>
      <c r="G15" s="14"/>
      <c r="H15" s="14"/>
      <c r="I15" s="22">
        <f t="shared" si="1"/>
        <v>4</v>
      </c>
      <c r="J15" s="25">
        <f t="shared" si="2"/>
        <v>1</v>
      </c>
      <c r="K15" s="14"/>
      <c r="L15" s="14"/>
      <c r="M15" s="29" t="str">
        <f t="shared" si="3"/>
        <v>BIEN</v>
      </c>
    </row>
    <row r="16">
      <c r="B16" s="10" t="s">
        <v>17</v>
      </c>
      <c r="C16" s="12" t="s">
        <v>68</v>
      </c>
      <c r="D16" s="14"/>
      <c r="E16" s="14">
        <v>1.0</v>
      </c>
      <c r="F16" s="17">
        <v>4.0</v>
      </c>
      <c r="G16" s="14"/>
      <c r="H16" s="14"/>
      <c r="I16" s="22">
        <f t="shared" si="1"/>
        <v>4</v>
      </c>
      <c r="J16" s="25">
        <f t="shared" si="2"/>
        <v>1</v>
      </c>
      <c r="K16" s="14"/>
      <c r="L16" s="14"/>
      <c r="M16" s="29" t="str">
        <f t="shared" si="3"/>
        <v>BIEN</v>
      </c>
    </row>
    <row r="17">
      <c r="B17" s="10" t="s">
        <v>17</v>
      </c>
      <c r="C17" s="12" t="s">
        <v>74</v>
      </c>
      <c r="D17" s="14"/>
      <c r="E17" s="15">
        <v>1.0</v>
      </c>
      <c r="F17" s="17">
        <v>2.0</v>
      </c>
      <c r="G17" s="14"/>
      <c r="H17" s="14"/>
      <c r="I17" s="22">
        <f t="shared" si="1"/>
        <v>2</v>
      </c>
      <c r="J17" s="25">
        <f t="shared" si="2"/>
        <v>1</v>
      </c>
      <c r="K17" s="14"/>
      <c r="L17" s="14"/>
      <c r="M17" s="29" t="str">
        <f t="shared" si="3"/>
        <v>BIEN</v>
      </c>
    </row>
    <row r="18">
      <c r="B18" s="10" t="s">
        <v>17</v>
      </c>
      <c r="C18" s="12" t="s">
        <v>78</v>
      </c>
      <c r="D18" s="14"/>
      <c r="E18" s="14">
        <v>1.0</v>
      </c>
      <c r="F18" s="17">
        <v>3.0</v>
      </c>
      <c r="G18" s="14"/>
      <c r="H18" s="14"/>
      <c r="I18" s="22">
        <f t="shared" si="1"/>
        <v>3</v>
      </c>
      <c r="J18" s="25">
        <f t="shared" si="2"/>
        <v>1</v>
      </c>
      <c r="K18" s="14"/>
      <c r="L18" s="14"/>
      <c r="M18" s="29" t="str">
        <f t="shared" si="3"/>
        <v>BIEN</v>
      </c>
    </row>
    <row r="19">
      <c r="B19" s="10" t="s">
        <v>17</v>
      </c>
      <c r="C19" s="43"/>
      <c r="D19" s="14"/>
      <c r="E19" s="14"/>
      <c r="F19" s="26"/>
      <c r="G19" s="14"/>
      <c r="H19" s="14"/>
      <c r="I19" s="22">
        <f t="shared" si="1"/>
        <v>0</v>
      </c>
      <c r="J19" s="25">
        <f t="shared" si="2"/>
        <v>0</v>
      </c>
      <c r="K19" s="14"/>
      <c r="L19" s="14"/>
      <c r="M19" s="29" t="str">
        <f t="shared" si="3"/>
        <v>CRITICO</v>
      </c>
    </row>
    <row r="20">
      <c r="B20" s="10" t="s">
        <v>17</v>
      </c>
      <c r="C20" s="43"/>
      <c r="D20" s="14"/>
      <c r="E20" s="14"/>
      <c r="F20" s="26"/>
      <c r="G20" s="14"/>
      <c r="H20" s="14"/>
      <c r="I20" s="22">
        <f t="shared" si="1"/>
        <v>0</v>
      </c>
      <c r="J20" s="25">
        <f t="shared" si="2"/>
        <v>0</v>
      </c>
      <c r="K20" s="14"/>
      <c r="L20" s="14"/>
      <c r="M20" s="29" t="str">
        <f t="shared" si="3"/>
        <v>CRITICO</v>
      </c>
    </row>
    <row r="21" ht="15.75" customHeight="1">
      <c r="B21" s="10" t="s">
        <v>17</v>
      </c>
      <c r="C21" s="43"/>
      <c r="D21" s="14"/>
      <c r="E21" s="14"/>
      <c r="F21" s="26"/>
      <c r="G21" s="14"/>
      <c r="H21" s="14"/>
      <c r="I21" s="22">
        <f t="shared" si="1"/>
        <v>0</v>
      </c>
      <c r="J21" s="25">
        <f t="shared" si="2"/>
        <v>0</v>
      </c>
      <c r="K21" s="14"/>
      <c r="L21" s="14"/>
      <c r="M21" s="29" t="str">
        <f t="shared" si="3"/>
        <v>CRITICO</v>
      </c>
    </row>
    <row r="22" ht="15.75" customHeight="1">
      <c r="B22" s="10" t="s">
        <v>17</v>
      </c>
      <c r="C22" s="43"/>
      <c r="D22" s="14"/>
      <c r="E22" s="14"/>
      <c r="F22" s="26"/>
      <c r="G22" s="14"/>
      <c r="H22" s="14"/>
      <c r="I22" s="22">
        <f t="shared" si="1"/>
        <v>0</v>
      </c>
      <c r="J22" s="25">
        <f t="shared" si="2"/>
        <v>0</v>
      </c>
      <c r="K22" s="14"/>
      <c r="L22" s="14"/>
      <c r="M22" s="29" t="str">
        <f t="shared" si="3"/>
        <v>CRITICO</v>
      </c>
    </row>
    <row r="23" ht="15.75" customHeight="1">
      <c r="B23" s="10" t="s">
        <v>17</v>
      </c>
      <c r="C23" s="43"/>
      <c r="D23" s="14"/>
      <c r="E23" s="14"/>
      <c r="F23" s="26"/>
      <c r="G23" s="14"/>
      <c r="H23" s="14"/>
      <c r="I23" s="22">
        <f t="shared" si="1"/>
        <v>0</v>
      </c>
      <c r="J23" s="25">
        <f t="shared" si="2"/>
        <v>0</v>
      </c>
      <c r="K23" s="14"/>
      <c r="L23" s="14"/>
      <c r="M23" s="29" t="str">
        <f t="shared" si="3"/>
        <v>CRITICO</v>
      </c>
    </row>
    <row r="24" ht="15.75" customHeight="1">
      <c r="B24" s="10" t="s">
        <v>17</v>
      </c>
      <c r="C24" s="43"/>
      <c r="D24" s="14"/>
      <c r="E24" s="14"/>
      <c r="F24" s="26"/>
      <c r="G24" s="14"/>
      <c r="H24" s="14"/>
      <c r="I24" s="22">
        <f t="shared" si="1"/>
        <v>0</v>
      </c>
      <c r="J24" s="25">
        <f t="shared" si="2"/>
        <v>0</v>
      </c>
      <c r="K24" s="14"/>
      <c r="L24" s="14"/>
      <c r="M24" s="29" t="str">
        <f t="shared" si="3"/>
        <v>CRITICO</v>
      </c>
    </row>
    <row r="25" ht="15.75" customHeight="1">
      <c r="B25" s="10" t="s">
        <v>17</v>
      </c>
      <c r="C25" s="43"/>
      <c r="D25" s="14"/>
      <c r="E25" s="14"/>
      <c r="F25" s="26"/>
      <c r="G25" s="14"/>
      <c r="H25" s="14"/>
      <c r="I25" s="22">
        <f t="shared" si="1"/>
        <v>0</v>
      </c>
      <c r="J25" s="25">
        <f t="shared" si="2"/>
        <v>0</v>
      </c>
      <c r="K25" s="14"/>
      <c r="L25" s="14"/>
      <c r="M25" s="29" t="str">
        <f t="shared" si="3"/>
        <v>CRITICO</v>
      </c>
    </row>
    <row r="26" ht="15.75" customHeight="1">
      <c r="B26" s="10" t="s">
        <v>17</v>
      </c>
      <c r="C26" s="43"/>
      <c r="D26" s="14"/>
      <c r="E26" s="14"/>
      <c r="F26" s="26"/>
      <c r="G26" s="14"/>
      <c r="H26" s="14"/>
      <c r="I26" s="22">
        <f t="shared" si="1"/>
        <v>0</v>
      </c>
      <c r="J26" s="25">
        <f t="shared" si="2"/>
        <v>0</v>
      </c>
      <c r="K26" s="14"/>
      <c r="L26" s="14"/>
      <c r="M26" s="29" t="str">
        <f t="shared" si="3"/>
        <v>CRITICO</v>
      </c>
    </row>
    <row r="27" ht="15.75" customHeight="1">
      <c r="B27" s="10" t="s">
        <v>17</v>
      </c>
      <c r="C27" s="43"/>
      <c r="D27" s="14"/>
      <c r="E27" s="14"/>
      <c r="F27" s="26"/>
      <c r="G27" s="14"/>
      <c r="H27" s="14"/>
      <c r="I27" s="22">
        <f t="shared" si="1"/>
        <v>0</v>
      </c>
      <c r="J27" s="25">
        <f t="shared" si="2"/>
        <v>0</v>
      </c>
      <c r="K27" s="14"/>
      <c r="L27" s="14"/>
      <c r="M27" s="51" t="str">
        <f t="shared" si="3"/>
        <v>CRITICO</v>
      </c>
    </row>
    <row r="28" ht="15.75" customHeight="1">
      <c r="B28" s="10" t="s">
        <v>98</v>
      </c>
      <c r="C28" s="43"/>
      <c r="D28" s="14"/>
      <c r="E28" s="52"/>
      <c r="F28" s="26"/>
      <c r="G28" s="14"/>
      <c r="H28" s="14">
        <v>4.0</v>
      </c>
      <c r="I28" s="22">
        <f t="shared" si="1"/>
        <v>-4</v>
      </c>
      <c r="J28" s="25">
        <f t="shared" si="2"/>
        <v>0</v>
      </c>
      <c r="K28" s="14"/>
      <c r="L28" s="14"/>
      <c r="M28" s="29" t="str">
        <f t="shared" si="3"/>
        <v>CRITICO</v>
      </c>
    </row>
    <row r="29" ht="15.75" customHeight="1">
      <c r="B29" s="5" t="s">
        <v>100</v>
      </c>
      <c r="C29" s="53"/>
      <c r="D29" s="38"/>
      <c r="E29" s="52"/>
      <c r="F29" s="38"/>
      <c r="G29" s="38"/>
      <c r="H29" s="38"/>
      <c r="I29" s="38">
        <f t="shared" si="1"/>
        <v>0</v>
      </c>
      <c r="J29" s="25">
        <f t="shared" si="2"/>
        <v>0</v>
      </c>
      <c r="K29" s="38"/>
      <c r="L29" s="54"/>
      <c r="M29" s="29" t="str">
        <f t="shared" si="3"/>
        <v>CRITICO</v>
      </c>
    </row>
    <row r="30" ht="15.75" customHeight="1">
      <c r="B30" s="5" t="s">
        <v>100</v>
      </c>
      <c r="C30" s="53"/>
      <c r="D30" s="38"/>
      <c r="E30" s="52"/>
      <c r="F30" s="38"/>
      <c r="G30" s="38"/>
      <c r="H30" s="38"/>
      <c r="I30" s="38">
        <f t="shared" si="1"/>
        <v>0</v>
      </c>
      <c r="J30" s="25">
        <f t="shared" si="2"/>
        <v>0</v>
      </c>
      <c r="K30" s="38"/>
      <c r="L30" s="54"/>
      <c r="M30" s="29" t="str">
        <f t="shared" si="3"/>
        <v>CRITICO</v>
      </c>
    </row>
    <row r="31" ht="15.75" customHeight="1">
      <c r="B31" s="5"/>
      <c r="C31" s="53"/>
      <c r="D31" s="38"/>
      <c r="E31" s="52"/>
      <c r="F31" s="38"/>
      <c r="G31" s="38"/>
      <c r="H31" s="38"/>
      <c r="I31" s="38">
        <f t="shared" si="1"/>
        <v>0</v>
      </c>
      <c r="J31" s="25">
        <f t="shared" si="2"/>
        <v>0</v>
      </c>
      <c r="K31" s="38"/>
      <c r="L31" s="54"/>
      <c r="M31" s="29" t="str">
        <f t="shared" si="3"/>
        <v>CRITICO</v>
      </c>
    </row>
    <row r="32" ht="15.75" customHeight="1"/>
    <row r="33" ht="15.75" customHeight="1"/>
    <row r="34" ht="15.75" customHeight="1">
      <c r="B34" s="2" t="s">
        <v>107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4"/>
    </row>
    <row r="35" ht="15.75" customHeight="1">
      <c r="B35" s="5" t="s">
        <v>4</v>
      </c>
      <c r="C35" s="5" t="s">
        <v>5</v>
      </c>
      <c r="D35" s="5" t="s">
        <v>6</v>
      </c>
      <c r="E35" s="6" t="s">
        <v>7</v>
      </c>
      <c r="F35" s="5" t="s">
        <v>8</v>
      </c>
      <c r="G35" s="5" t="s">
        <v>9</v>
      </c>
      <c r="H35" s="5" t="s">
        <v>10</v>
      </c>
      <c r="I35" s="5" t="s">
        <v>11</v>
      </c>
      <c r="J35" s="5" t="s">
        <v>12</v>
      </c>
      <c r="K35" s="5" t="s">
        <v>13</v>
      </c>
      <c r="L35" s="7" t="s">
        <v>14</v>
      </c>
      <c r="M35" s="9" t="s">
        <v>16</v>
      </c>
    </row>
    <row r="36" ht="15.75" customHeight="1">
      <c r="B36" s="5"/>
      <c r="C36" s="55" t="s">
        <v>109</v>
      </c>
      <c r="D36" s="56" t="s">
        <v>110</v>
      </c>
      <c r="E36" s="57">
        <v>1.0</v>
      </c>
      <c r="F36" s="56">
        <v>3.0</v>
      </c>
      <c r="G36" s="38"/>
      <c r="H36" s="38"/>
      <c r="I36" s="38">
        <f t="shared" ref="I36:I50" si="4">+F36+G36-H36</f>
        <v>3</v>
      </c>
      <c r="J36" s="25">
        <f t="shared" ref="J36:J50" si="5">+IF(E36=0,0,MIN(MAX((I36-E36)/E36,0),1))</f>
        <v>1</v>
      </c>
      <c r="K36" s="38"/>
      <c r="L36" s="54"/>
      <c r="M36" s="29" t="str">
        <f t="shared" ref="M36:M50" si="6">+IF(J36=0,"CRITICO",IF(J36&lt;0.5,"ALERTA","BIEN"))</f>
        <v>BIEN</v>
      </c>
    </row>
    <row r="37" ht="15.75" customHeight="1">
      <c r="B37" s="5"/>
      <c r="C37" s="55" t="s">
        <v>109</v>
      </c>
      <c r="D37" s="56" t="s">
        <v>114</v>
      </c>
      <c r="E37" s="57">
        <v>1.0</v>
      </c>
      <c r="F37" s="56">
        <v>2.0</v>
      </c>
      <c r="G37" s="38"/>
      <c r="H37" s="38"/>
      <c r="I37" s="38">
        <f t="shared" si="4"/>
        <v>2</v>
      </c>
      <c r="J37" s="25">
        <f t="shared" si="5"/>
        <v>1</v>
      </c>
      <c r="K37" s="38"/>
      <c r="L37" s="54"/>
      <c r="M37" s="29" t="str">
        <f t="shared" si="6"/>
        <v>BIEN</v>
      </c>
    </row>
    <row r="38" ht="15.75" customHeight="1">
      <c r="B38" s="5"/>
      <c r="C38" s="55" t="s">
        <v>117</v>
      </c>
      <c r="D38" s="38"/>
      <c r="E38" s="57">
        <v>1.0</v>
      </c>
      <c r="F38" s="56">
        <v>1.0</v>
      </c>
      <c r="G38" s="38"/>
      <c r="H38" s="38"/>
      <c r="I38" s="38">
        <f t="shared" si="4"/>
        <v>1</v>
      </c>
      <c r="J38" s="25">
        <f t="shared" si="5"/>
        <v>0</v>
      </c>
      <c r="K38" s="38"/>
      <c r="L38" s="54"/>
      <c r="M38" s="29" t="str">
        <f t="shared" si="6"/>
        <v>CRITICO</v>
      </c>
    </row>
    <row r="39" ht="15.75" customHeight="1">
      <c r="B39" s="5"/>
      <c r="C39" s="55" t="s">
        <v>120</v>
      </c>
      <c r="D39" s="38"/>
      <c r="E39" s="57">
        <v>1.0</v>
      </c>
      <c r="F39" s="56">
        <v>8.0</v>
      </c>
      <c r="G39" s="38"/>
      <c r="H39" s="56">
        <v>2.0</v>
      </c>
      <c r="I39" s="38">
        <f t="shared" si="4"/>
        <v>6</v>
      </c>
      <c r="J39" s="25">
        <f t="shared" si="5"/>
        <v>1</v>
      </c>
      <c r="K39" s="38"/>
      <c r="L39" s="54"/>
      <c r="M39" s="29" t="str">
        <f t="shared" si="6"/>
        <v>BIEN</v>
      </c>
    </row>
    <row r="40" ht="15.75" customHeight="1">
      <c r="B40" s="5"/>
      <c r="C40" s="55" t="s">
        <v>121</v>
      </c>
      <c r="D40" s="38"/>
      <c r="E40" s="57">
        <v>1.0</v>
      </c>
      <c r="F40" s="56">
        <v>2.0</v>
      </c>
      <c r="G40" s="38"/>
      <c r="H40" s="38"/>
      <c r="I40" s="38">
        <f t="shared" si="4"/>
        <v>2</v>
      </c>
      <c r="J40" s="25">
        <f t="shared" si="5"/>
        <v>1</v>
      </c>
      <c r="K40" s="38"/>
      <c r="L40" s="54"/>
      <c r="M40" s="29" t="str">
        <f t="shared" si="6"/>
        <v>BIEN</v>
      </c>
    </row>
    <row r="41" ht="15.75" customHeight="1">
      <c r="B41" s="5"/>
      <c r="C41" s="55" t="s">
        <v>122</v>
      </c>
      <c r="D41" s="56" t="s">
        <v>114</v>
      </c>
      <c r="E41" s="57">
        <v>1.0</v>
      </c>
      <c r="F41" s="56">
        <v>1.0</v>
      </c>
      <c r="G41" s="38"/>
      <c r="H41" s="38"/>
      <c r="I41" s="38">
        <f t="shared" si="4"/>
        <v>1</v>
      </c>
      <c r="J41" s="25">
        <f t="shared" si="5"/>
        <v>0</v>
      </c>
      <c r="K41" s="38"/>
      <c r="L41" s="54"/>
      <c r="M41" s="29" t="str">
        <f t="shared" si="6"/>
        <v>CRITICO</v>
      </c>
    </row>
    <row r="42" ht="15.75" customHeight="1">
      <c r="B42" s="5"/>
      <c r="C42" s="55" t="s">
        <v>124</v>
      </c>
      <c r="D42" s="38"/>
      <c r="E42" s="57">
        <v>1.0</v>
      </c>
      <c r="F42" s="56">
        <v>2.0</v>
      </c>
      <c r="G42" s="38"/>
      <c r="H42" s="56">
        <v>2.0</v>
      </c>
      <c r="I42" s="38">
        <f t="shared" si="4"/>
        <v>0</v>
      </c>
      <c r="J42" s="25">
        <f t="shared" si="5"/>
        <v>0</v>
      </c>
      <c r="K42" s="38"/>
      <c r="L42" s="54"/>
      <c r="M42" s="29" t="str">
        <f t="shared" si="6"/>
        <v>CRITICO</v>
      </c>
    </row>
    <row r="43" ht="15.75" customHeight="1">
      <c r="B43" s="5"/>
      <c r="C43" s="55" t="s">
        <v>126</v>
      </c>
      <c r="D43" s="38"/>
      <c r="E43" s="57">
        <v>1.0</v>
      </c>
      <c r="F43" s="56">
        <v>5.0</v>
      </c>
      <c r="G43" s="38"/>
      <c r="H43" s="38"/>
      <c r="I43" s="38">
        <f t="shared" si="4"/>
        <v>5</v>
      </c>
      <c r="J43" s="25">
        <f t="shared" si="5"/>
        <v>1</v>
      </c>
      <c r="K43" s="38"/>
      <c r="L43" s="54"/>
      <c r="M43" s="29" t="str">
        <f t="shared" si="6"/>
        <v>BIEN</v>
      </c>
    </row>
    <row r="44" ht="15.75" customHeight="1">
      <c r="B44" s="5"/>
      <c r="C44" s="55" t="s">
        <v>127</v>
      </c>
      <c r="D44" s="56" t="s">
        <v>110</v>
      </c>
      <c r="E44" s="57">
        <v>1.0</v>
      </c>
      <c r="F44" s="56">
        <v>3.0</v>
      </c>
      <c r="G44" s="38"/>
      <c r="H44" s="38"/>
      <c r="I44" s="38">
        <f t="shared" si="4"/>
        <v>3</v>
      </c>
      <c r="J44" s="25">
        <f t="shared" si="5"/>
        <v>1</v>
      </c>
      <c r="K44" s="38"/>
      <c r="L44" s="54"/>
      <c r="M44" s="29" t="str">
        <f t="shared" si="6"/>
        <v>BIEN</v>
      </c>
    </row>
    <row r="45" ht="15.75" customHeight="1">
      <c r="B45" s="5"/>
      <c r="C45" s="55" t="s">
        <v>129</v>
      </c>
      <c r="D45" s="56" t="s">
        <v>110</v>
      </c>
      <c r="E45" s="57">
        <v>1.0</v>
      </c>
      <c r="F45" s="56">
        <v>5.0</v>
      </c>
      <c r="G45" s="38"/>
      <c r="H45" s="38"/>
      <c r="I45" s="38">
        <f t="shared" si="4"/>
        <v>5</v>
      </c>
      <c r="J45" s="25">
        <f t="shared" si="5"/>
        <v>1</v>
      </c>
      <c r="K45" s="38"/>
      <c r="L45" s="54"/>
      <c r="M45" s="29" t="str">
        <f t="shared" si="6"/>
        <v>BIEN</v>
      </c>
    </row>
    <row r="46" ht="15.75" customHeight="1">
      <c r="B46" s="5"/>
      <c r="C46" s="55" t="s">
        <v>132</v>
      </c>
      <c r="D46" s="38"/>
      <c r="E46" s="57">
        <v>1.0</v>
      </c>
      <c r="F46" s="56">
        <v>1.0</v>
      </c>
      <c r="G46" s="38"/>
      <c r="H46" s="38"/>
      <c r="I46" s="38">
        <f t="shared" si="4"/>
        <v>1</v>
      </c>
      <c r="J46" s="25">
        <f t="shared" si="5"/>
        <v>0</v>
      </c>
      <c r="K46" s="38"/>
      <c r="L46" s="54"/>
      <c r="M46" s="29" t="str">
        <f t="shared" si="6"/>
        <v>CRITICO</v>
      </c>
    </row>
    <row r="47" ht="15.75" customHeight="1">
      <c r="B47" s="5"/>
      <c r="C47" s="55" t="s">
        <v>135</v>
      </c>
      <c r="D47" s="38"/>
      <c r="E47" s="57">
        <v>1.0</v>
      </c>
      <c r="F47" s="56">
        <v>1.0</v>
      </c>
      <c r="G47" s="38"/>
      <c r="H47" s="38"/>
      <c r="I47" s="38">
        <f t="shared" si="4"/>
        <v>1</v>
      </c>
      <c r="J47" s="25">
        <f t="shared" si="5"/>
        <v>0</v>
      </c>
      <c r="K47" s="38"/>
      <c r="L47" s="54"/>
      <c r="M47" s="29" t="str">
        <f t="shared" si="6"/>
        <v>CRITICO</v>
      </c>
    </row>
    <row r="48" ht="15.75" customHeight="1">
      <c r="B48" s="5"/>
      <c r="C48" s="55" t="s">
        <v>137</v>
      </c>
      <c r="D48" s="38"/>
      <c r="E48" s="57">
        <v>1.0</v>
      </c>
      <c r="F48" s="56">
        <v>5.0</v>
      </c>
      <c r="G48" s="38"/>
      <c r="H48" s="38"/>
      <c r="I48" s="38">
        <f t="shared" si="4"/>
        <v>5</v>
      </c>
      <c r="J48" s="25">
        <f t="shared" si="5"/>
        <v>1</v>
      </c>
      <c r="K48" s="38"/>
      <c r="L48" s="54"/>
      <c r="M48" s="29" t="str">
        <f t="shared" si="6"/>
        <v>BIEN</v>
      </c>
    </row>
    <row r="49" ht="15.75" customHeight="1">
      <c r="B49" s="5"/>
      <c r="C49" s="55" t="s">
        <v>140</v>
      </c>
      <c r="D49" s="38"/>
      <c r="E49" s="57">
        <v>1.0</v>
      </c>
      <c r="F49" s="56">
        <v>1.0</v>
      </c>
      <c r="G49" s="38"/>
      <c r="H49" s="56">
        <v>1.0</v>
      </c>
      <c r="I49" s="38">
        <f t="shared" si="4"/>
        <v>0</v>
      </c>
      <c r="J49" s="25">
        <f t="shared" si="5"/>
        <v>0</v>
      </c>
      <c r="K49" s="38"/>
      <c r="L49" s="54"/>
      <c r="M49" s="29" t="str">
        <f t="shared" si="6"/>
        <v>CRITICO</v>
      </c>
    </row>
    <row r="50" ht="15.75" customHeight="1">
      <c r="B50" s="5"/>
      <c r="C50" s="53"/>
      <c r="D50" s="38"/>
      <c r="E50" s="72"/>
      <c r="F50" s="38"/>
      <c r="G50" s="38"/>
      <c r="H50" s="38"/>
      <c r="I50" s="38">
        <f t="shared" si="4"/>
        <v>0</v>
      </c>
      <c r="J50" s="25">
        <f t="shared" si="5"/>
        <v>0</v>
      </c>
      <c r="K50" s="38"/>
      <c r="L50" s="54"/>
      <c r="M50" s="29" t="str">
        <f t="shared" si="6"/>
        <v>CRITICO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M2"/>
    <mergeCell ref="B34:M34"/>
  </mergeCells>
  <conditionalFormatting sqref="M4:M27">
    <cfRule type="expression" dxfId="0" priority="1" stopIfTrue="1">
      <formula>J4=0</formula>
    </cfRule>
  </conditionalFormatting>
  <conditionalFormatting sqref="M4:M27">
    <cfRule type="expression" dxfId="1" priority="2" stopIfTrue="1">
      <formula>AND(J4&gt;0,J4&lt;0.5)</formula>
    </cfRule>
  </conditionalFormatting>
  <conditionalFormatting sqref="M4:M27">
    <cfRule type="expression" dxfId="2" priority="3" stopIfTrue="1">
      <formula>+J4&gt;=0.5</formula>
    </cfRule>
  </conditionalFormatting>
  <conditionalFormatting sqref="M28">
    <cfRule type="expression" dxfId="0" priority="4" stopIfTrue="1">
      <formula>J28=0</formula>
    </cfRule>
  </conditionalFormatting>
  <conditionalFormatting sqref="M28">
    <cfRule type="expression" dxfId="1" priority="5" stopIfTrue="1">
      <formula>AND(J28&gt;0,J28&lt;0.5)</formula>
    </cfRule>
  </conditionalFormatting>
  <conditionalFormatting sqref="M28">
    <cfRule type="expression" dxfId="2" priority="6" stopIfTrue="1">
      <formula>+J28&gt;=0.5</formula>
    </cfRule>
  </conditionalFormatting>
  <conditionalFormatting sqref="M29:M31 M36:M50">
    <cfRule type="expression" dxfId="0" priority="7" stopIfTrue="1">
      <formula>J29=0</formula>
    </cfRule>
  </conditionalFormatting>
  <conditionalFormatting sqref="M29:M31 M36:M50">
    <cfRule type="expression" dxfId="1" priority="8" stopIfTrue="1">
      <formula>AND(J29&gt;0,J29&lt;0.5)</formula>
    </cfRule>
  </conditionalFormatting>
  <conditionalFormatting sqref="M29:M31 M36:M50">
    <cfRule type="expression" dxfId="2" priority="9" stopIfTrue="1">
      <formula>+J29&gt;=0.5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6.0"/>
    <col customWidth="1" min="3" max="3" width="54.57"/>
    <col customWidth="1" min="4" max="4" width="15.57"/>
    <col customWidth="1" min="5" max="10" width="10.71"/>
    <col customWidth="1" min="11" max="11" width="30.0"/>
    <col customWidth="1" min="12" max="26" width="10.71"/>
  </cols>
  <sheetData>
    <row r="2">
      <c r="B2" s="1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>
      <c r="B3" s="5" t="s">
        <v>4</v>
      </c>
      <c r="C3" s="5" t="s">
        <v>21</v>
      </c>
      <c r="D3" s="5" t="s">
        <v>6</v>
      </c>
      <c r="E3" s="6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7" t="s">
        <v>14</v>
      </c>
      <c r="M3" s="9" t="s">
        <v>16</v>
      </c>
    </row>
    <row r="4">
      <c r="B4" s="10" t="s">
        <v>22</v>
      </c>
      <c r="C4" s="23" t="s">
        <v>23</v>
      </c>
      <c r="D4" s="14" t="s">
        <v>24</v>
      </c>
      <c r="E4" s="14">
        <v>5.0</v>
      </c>
      <c r="F4" s="26">
        <v>27.0</v>
      </c>
      <c r="G4" s="14"/>
      <c r="H4" s="14"/>
      <c r="I4" s="22">
        <f t="shared" ref="I4:I30" si="1">+F4+G4-H4</f>
        <v>27</v>
      </c>
      <c r="J4" s="25">
        <f t="shared" ref="J4:J30" si="2">+IF(E4=0,0,MIN(MAX((I4-E4)/E4,0),1))</f>
        <v>1</v>
      </c>
      <c r="K4" s="14"/>
      <c r="L4" s="14"/>
      <c r="M4" s="29" t="str">
        <f t="shared" ref="M4:M30" si="3">+IF(J4=0,"CRITICO",IF(J4&lt;0.5,"ALERTA","BIEN"))</f>
        <v>BIEN</v>
      </c>
    </row>
    <row r="5">
      <c r="B5" s="10" t="s">
        <v>22</v>
      </c>
      <c r="C5" s="23" t="s">
        <v>34</v>
      </c>
      <c r="D5" s="14" t="s">
        <v>24</v>
      </c>
      <c r="E5" s="14">
        <v>5.0</v>
      </c>
      <c r="F5" s="26">
        <v>13.0</v>
      </c>
      <c r="G5" s="14"/>
      <c r="H5" s="14"/>
      <c r="I5" s="22">
        <f t="shared" si="1"/>
        <v>13</v>
      </c>
      <c r="J5" s="25">
        <f t="shared" si="2"/>
        <v>1</v>
      </c>
      <c r="K5" s="14"/>
      <c r="L5" s="14"/>
      <c r="M5" s="29" t="str">
        <f t="shared" si="3"/>
        <v>BIEN</v>
      </c>
    </row>
    <row r="6">
      <c r="B6" s="10" t="s">
        <v>22</v>
      </c>
      <c r="C6" s="23" t="s">
        <v>40</v>
      </c>
      <c r="D6" s="14" t="s">
        <v>41</v>
      </c>
      <c r="E6" s="14">
        <v>1.0</v>
      </c>
      <c r="F6" s="26">
        <v>1.0</v>
      </c>
      <c r="G6" s="14"/>
      <c r="H6" s="14"/>
      <c r="I6" s="22">
        <f t="shared" si="1"/>
        <v>1</v>
      </c>
      <c r="J6" s="25">
        <f t="shared" si="2"/>
        <v>0</v>
      </c>
      <c r="K6" s="14"/>
      <c r="L6" s="14"/>
      <c r="M6" s="29" t="str">
        <f t="shared" si="3"/>
        <v>CRITICO</v>
      </c>
    </row>
    <row r="7">
      <c r="B7" s="10" t="s">
        <v>22</v>
      </c>
      <c r="C7" s="23" t="s">
        <v>46</v>
      </c>
      <c r="D7" s="14"/>
      <c r="E7" s="14">
        <v>5.0</v>
      </c>
      <c r="F7" s="26">
        <v>11.0</v>
      </c>
      <c r="G7" s="14"/>
      <c r="H7" s="14"/>
      <c r="I7" s="22">
        <f t="shared" si="1"/>
        <v>11</v>
      </c>
      <c r="J7" s="25">
        <f t="shared" si="2"/>
        <v>1</v>
      </c>
      <c r="K7" s="14"/>
      <c r="L7" s="14"/>
      <c r="M7" s="29" t="str">
        <f t="shared" si="3"/>
        <v>BIEN</v>
      </c>
    </row>
    <row r="8">
      <c r="B8" s="10" t="s">
        <v>22</v>
      </c>
      <c r="C8" s="23" t="s">
        <v>50</v>
      </c>
      <c r="D8" s="14" t="s">
        <v>51</v>
      </c>
      <c r="E8" s="14">
        <v>1.0</v>
      </c>
      <c r="F8" s="26">
        <v>1.0</v>
      </c>
      <c r="G8" s="14"/>
      <c r="H8" s="14"/>
      <c r="I8" s="22">
        <f t="shared" si="1"/>
        <v>1</v>
      </c>
      <c r="J8" s="25">
        <f t="shared" si="2"/>
        <v>0</v>
      </c>
      <c r="K8" s="14"/>
      <c r="L8" s="14"/>
      <c r="M8" s="29" t="str">
        <f t="shared" si="3"/>
        <v>CRITICO</v>
      </c>
    </row>
    <row r="9">
      <c r="B9" s="10" t="s">
        <v>22</v>
      </c>
      <c r="C9" s="23" t="s">
        <v>34</v>
      </c>
      <c r="D9" s="14" t="s">
        <v>55</v>
      </c>
      <c r="E9" s="14">
        <v>5.0</v>
      </c>
      <c r="F9" s="26">
        <v>15.0</v>
      </c>
      <c r="G9" s="14"/>
      <c r="H9" s="14"/>
      <c r="I9" s="22">
        <f t="shared" si="1"/>
        <v>15</v>
      </c>
      <c r="J9" s="25">
        <f t="shared" si="2"/>
        <v>1</v>
      </c>
      <c r="K9" s="14"/>
      <c r="L9" s="14"/>
      <c r="M9" s="29" t="str">
        <f t="shared" si="3"/>
        <v>BIEN</v>
      </c>
    </row>
    <row r="10">
      <c r="B10" s="10" t="s">
        <v>22</v>
      </c>
      <c r="C10" s="23" t="s">
        <v>60</v>
      </c>
      <c r="D10" s="14"/>
      <c r="E10" s="14">
        <v>1.0</v>
      </c>
      <c r="F10" s="26">
        <v>2.0</v>
      </c>
      <c r="G10" s="14"/>
      <c r="H10" s="14"/>
      <c r="I10" s="22">
        <f t="shared" si="1"/>
        <v>2</v>
      </c>
      <c r="J10" s="25">
        <f t="shared" si="2"/>
        <v>1</v>
      </c>
      <c r="K10" s="14"/>
      <c r="L10" s="14"/>
      <c r="M10" s="29" t="str">
        <f t="shared" si="3"/>
        <v>BIEN</v>
      </c>
    </row>
    <row r="11">
      <c r="B11" s="10" t="s">
        <v>22</v>
      </c>
      <c r="C11" s="23" t="s">
        <v>63</v>
      </c>
      <c r="D11" s="14"/>
      <c r="E11" s="14">
        <v>1.0</v>
      </c>
      <c r="F11" s="26">
        <v>1.0</v>
      </c>
      <c r="G11" s="14"/>
      <c r="H11" s="14"/>
      <c r="I11" s="22">
        <f t="shared" si="1"/>
        <v>1</v>
      </c>
      <c r="J11" s="25">
        <f t="shared" si="2"/>
        <v>0</v>
      </c>
      <c r="K11" s="14"/>
      <c r="L11" s="14"/>
      <c r="M11" s="29" t="str">
        <f t="shared" si="3"/>
        <v>CRITICO</v>
      </c>
    </row>
    <row r="12">
      <c r="B12" s="10" t="s">
        <v>22</v>
      </c>
      <c r="C12" s="23" t="s">
        <v>67</v>
      </c>
      <c r="D12" s="14"/>
      <c r="E12" s="14">
        <v>2.0</v>
      </c>
      <c r="F12" s="26">
        <v>4.0</v>
      </c>
      <c r="G12" s="14"/>
      <c r="H12" s="14"/>
      <c r="I12" s="22">
        <f t="shared" si="1"/>
        <v>4</v>
      </c>
      <c r="J12" s="25">
        <f t="shared" si="2"/>
        <v>1</v>
      </c>
      <c r="K12" s="14"/>
      <c r="L12" s="14"/>
      <c r="M12" s="29" t="str">
        <f t="shared" si="3"/>
        <v>BIEN</v>
      </c>
    </row>
    <row r="13">
      <c r="B13" s="10" t="s">
        <v>22</v>
      </c>
      <c r="C13" s="23" t="s">
        <v>71</v>
      </c>
      <c r="D13" s="14"/>
      <c r="E13" s="14">
        <v>3.0</v>
      </c>
      <c r="F13" s="26">
        <v>7.0</v>
      </c>
      <c r="G13" s="14"/>
      <c r="H13" s="14"/>
      <c r="I13" s="22">
        <f t="shared" si="1"/>
        <v>7</v>
      </c>
      <c r="J13" s="25">
        <f t="shared" si="2"/>
        <v>1</v>
      </c>
      <c r="K13" s="14"/>
      <c r="L13" s="14"/>
      <c r="M13" s="29" t="str">
        <f t="shared" si="3"/>
        <v>BIEN</v>
      </c>
    </row>
    <row r="14">
      <c r="B14" s="10" t="s">
        <v>22</v>
      </c>
      <c r="C14" s="23" t="s">
        <v>75</v>
      </c>
      <c r="D14" s="14"/>
      <c r="E14" s="14">
        <v>1.0</v>
      </c>
      <c r="F14" s="26">
        <v>1.0</v>
      </c>
      <c r="G14" s="14"/>
      <c r="H14" s="14"/>
      <c r="I14" s="22">
        <f t="shared" si="1"/>
        <v>1</v>
      </c>
      <c r="J14" s="25">
        <f t="shared" si="2"/>
        <v>0</v>
      </c>
      <c r="K14" s="14"/>
      <c r="L14" s="14"/>
      <c r="M14" s="29" t="str">
        <f t="shared" si="3"/>
        <v>CRITICO</v>
      </c>
    </row>
    <row r="15">
      <c r="B15" s="10" t="s">
        <v>22</v>
      </c>
      <c r="C15" s="42" t="s">
        <v>79</v>
      </c>
      <c r="D15" s="38"/>
      <c r="E15" s="14">
        <v>1.0</v>
      </c>
      <c r="F15" s="26">
        <v>1.0</v>
      </c>
      <c r="G15" s="14"/>
      <c r="H15" s="14"/>
      <c r="I15" s="22">
        <f t="shared" si="1"/>
        <v>1</v>
      </c>
      <c r="J15" s="25">
        <f t="shared" si="2"/>
        <v>0</v>
      </c>
      <c r="K15" s="14"/>
      <c r="L15" s="14"/>
      <c r="M15" s="29" t="str">
        <f t="shared" si="3"/>
        <v>CRITICO</v>
      </c>
    </row>
    <row r="16">
      <c r="B16" s="10" t="s">
        <v>22</v>
      </c>
      <c r="C16" s="23" t="s">
        <v>82</v>
      </c>
      <c r="D16" s="14" t="s">
        <v>83</v>
      </c>
      <c r="E16" s="14">
        <v>1.0</v>
      </c>
      <c r="F16" s="26">
        <v>3.0</v>
      </c>
      <c r="G16" s="14"/>
      <c r="H16" s="14"/>
      <c r="I16" s="22">
        <f t="shared" si="1"/>
        <v>3</v>
      </c>
      <c r="J16" s="25">
        <f t="shared" si="2"/>
        <v>1</v>
      </c>
      <c r="K16" s="14"/>
      <c r="L16" s="14"/>
      <c r="M16" s="29" t="str">
        <f t="shared" si="3"/>
        <v>BIEN</v>
      </c>
    </row>
    <row r="17">
      <c r="B17" s="10" t="s">
        <v>22</v>
      </c>
      <c r="C17" s="23" t="s">
        <v>85</v>
      </c>
      <c r="D17" s="14" t="s">
        <v>86</v>
      </c>
      <c r="E17" s="14">
        <v>1.0</v>
      </c>
      <c r="F17" s="26">
        <v>3.0</v>
      </c>
      <c r="G17" s="14"/>
      <c r="H17" s="14"/>
      <c r="I17" s="22">
        <f t="shared" si="1"/>
        <v>3</v>
      </c>
      <c r="J17" s="25">
        <f t="shared" si="2"/>
        <v>1</v>
      </c>
      <c r="K17" s="14"/>
      <c r="L17" s="14"/>
      <c r="M17" s="29" t="str">
        <f t="shared" si="3"/>
        <v>BIEN</v>
      </c>
    </row>
    <row r="18">
      <c r="B18" s="10" t="s">
        <v>22</v>
      </c>
      <c r="C18" s="23" t="s">
        <v>87</v>
      </c>
      <c r="D18" s="14"/>
      <c r="E18" s="14">
        <v>3.0</v>
      </c>
      <c r="F18" s="26">
        <v>8.0</v>
      </c>
      <c r="G18" s="14"/>
      <c r="H18" s="14"/>
      <c r="I18" s="22">
        <f t="shared" si="1"/>
        <v>8</v>
      </c>
      <c r="J18" s="25">
        <f t="shared" si="2"/>
        <v>1</v>
      </c>
      <c r="K18" s="14"/>
      <c r="L18" s="14"/>
      <c r="M18" s="29" t="str">
        <f t="shared" si="3"/>
        <v>BIEN</v>
      </c>
    </row>
    <row r="19">
      <c r="B19" s="10" t="s">
        <v>22</v>
      </c>
      <c r="C19" s="43" t="s">
        <v>89</v>
      </c>
      <c r="D19" s="14" t="s">
        <v>91</v>
      </c>
      <c r="E19" s="14">
        <v>2.0</v>
      </c>
      <c r="F19" s="26">
        <v>5.0</v>
      </c>
      <c r="G19" s="14"/>
      <c r="H19" s="14"/>
      <c r="I19" s="22">
        <f t="shared" si="1"/>
        <v>5</v>
      </c>
      <c r="J19" s="25">
        <f t="shared" si="2"/>
        <v>1</v>
      </c>
      <c r="K19" s="14"/>
      <c r="L19" s="14"/>
      <c r="M19" s="29" t="str">
        <f t="shared" si="3"/>
        <v>BIEN</v>
      </c>
    </row>
    <row r="20">
      <c r="B20" s="10" t="s">
        <v>22</v>
      </c>
      <c r="C20" s="43" t="s">
        <v>92</v>
      </c>
      <c r="D20" s="14" t="s">
        <v>91</v>
      </c>
      <c r="E20" s="14">
        <v>1.0</v>
      </c>
      <c r="F20" s="26">
        <v>1.0</v>
      </c>
      <c r="G20" s="14"/>
      <c r="H20" s="14"/>
      <c r="I20" s="22">
        <f t="shared" si="1"/>
        <v>1</v>
      </c>
      <c r="J20" s="25">
        <f t="shared" si="2"/>
        <v>0</v>
      </c>
      <c r="K20" s="14"/>
      <c r="L20" s="14"/>
      <c r="M20" s="29" t="str">
        <f t="shared" si="3"/>
        <v>CRITICO</v>
      </c>
    </row>
    <row r="21" ht="15.75" customHeight="1">
      <c r="B21" s="10" t="s">
        <v>22</v>
      </c>
      <c r="C21" s="43" t="s">
        <v>94</v>
      </c>
      <c r="D21" s="14" t="s">
        <v>24</v>
      </c>
      <c r="E21" s="14">
        <v>1.0</v>
      </c>
      <c r="F21" s="26">
        <v>2.0</v>
      </c>
      <c r="G21" s="14"/>
      <c r="H21" s="14"/>
      <c r="I21" s="22">
        <f t="shared" si="1"/>
        <v>2</v>
      </c>
      <c r="J21" s="25">
        <f t="shared" si="2"/>
        <v>1</v>
      </c>
      <c r="K21" s="14"/>
      <c r="L21" s="14"/>
      <c r="M21" s="29" t="str">
        <f t="shared" si="3"/>
        <v>BIEN</v>
      </c>
    </row>
    <row r="22" ht="15.75" customHeight="1">
      <c r="B22" s="10" t="s">
        <v>22</v>
      </c>
      <c r="C22" s="43"/>
      <c r="D22" s="14"/>
      <c r="E22" s="14"/>
      <c r="F22" s="26"/>
      <c r="G22" s="14"/>
      <c r="H22" s="14"/>
      <c r="I22" s="22">
        <f t="shared" si="1"/>
        <v>0</v>
      </c>
      <c r="J22" s="25">
        <f t="shared" si="2"/>
        <v>0</v>
      </c>
      <c r="K22" s="14"/>
      <c r="L22" s="14"/>
      <c r="M22" s="29" t="str">
        <f t="shared" si="3"/>
        <v>CRITICO</v>
      </c>
    </row>
    <row r="23" ht="15.75" customHeight="1">
      <c r="B23" s="10"/>
      <c r="C23" s="43"/>
      <c r="D23" s="14"/>
      <c r="E23" s="14"/>
      <c r="F23" s="26"/>
      <c r="G23" s="14"/>
      <c r="H23" s="14"/>
      <c r="I23" s="22">
        <f t="shared" si="1"/>
        <v>0</v>
      </c>
      <c r="J23" s="25">
        <f t="shared" si="2"/>
        <v>0</v>
      </c>
      <c r="K23" s="14"/>
      <c r="L23" s="14"/>
      <c r="M23" s="29" t="str">
        <f t="shared" si="3"/>
        <v>CRITICO</v>
      </c>
    </row>
    <row r="24" ht="15.75" customHeight="1">
      <c r="B24" s="10"/>
      <c r="C24" s="43"/>
      <c r="D24" s="14"/>
      <c r="E24" s="14"/>
      <c r="F24" s="26"/>
      <c r="G24" s="14"/>
      <c r="H24" s="14"/>
      <c r="I24" s="22">
        <f t="shared" si="1"/>
        <v>0</v>
      </c>
      <c r="J24" s="25">
        <f t="shared" si="2"/>
        <v>0</v>
      </c>
      <c r="K24" s="14"/>
      <c r="L24" s="14"/>
      <c r="M24" s="29" t="str">
        <f t="shared" si="3"/>
        <v>CRITICO</v>
      </c>
    </row>
    <row r="25" ht="15.75" customHeight="1">
      <c r="B25" s="10"/>
      <c r="C25" s="43"/>
      <c r="D25" s="14"/>
      <c r="E25" s="14"/>
      <c r="F25" s="26"/>
      <c r="G25" s="14"/>
      <c r="H25" s="14"/>
      <c r="I25" s="22">
        <f t="shared" si="1"/>
        <v>0</v>
      </c>
      <c r="J25" s="25">
        <f t="shared" si="2"/>
        <v>0</v>
      </c>
      <c r="K25" s="14"/>
      <c r="L25" s="14"/>
      <c r="M25" s="29" t="str">
        <f t="shared" si="3"/>
        <v>CRITICO</v>
      </c>
    </row>
    <row r="26" ht="15.75" customHeight="1">
      <c r="B26" s="10"/>
      <c r="C26" s="43"/>
      <c r="D26" s="14"/>
      <c r="E26" s="14"/>
      <c r="F26" s="26"/>
      <c r="G26" s="14"/>
      <c r="H26" s="14"/>
      <c r="I26" s="22">
        <f t="shared" si="1"/>
        <v>0</v>
      </c>
      <c r="J26" s="25">
        <f t="shared" si="2"/>
        <v>0</v>
      </c>
      <c r="K26" s="14"/>
      <c r="L26" s="14"/>
      <c r="M26" s="29" t="str">
        <f t="shared" si="3"/>
        <v>CRITICO</v>
      </c>
    </row>
    <row r="27" ht="15.75" customHeight="1">
      <c r="B27" s="10"/>
      <c r="C27" s="43"/>
      <c r="D27" s="14"/>
      <c r="E27" s="14"/>
      <c r="F27" s="26"/>
      <c r="G27" s="14"/>
      <c r="H27" s="14"/>
      <c r="I27" s="22">
        <f t="shared" si="1"/>
        <v>0</v>
      </c>
      <c r="J27" s="25">
        <f t="shared" si="2"/>
        <v>0</v>
      </c>
      <c r="K27" s="14"/>
      <c r="L27" s="14"/>
      <c r="M27" s="51" t="str">
        <f t="shared" si="3"/>
        <v>CRITICO</v>
      </c>
    </row>
    <row r="28" ht="15.75" customHeight="1">
      <c r="B28" s="10"/>
      <c r="C28" s="43"/>
      <c r="D28" s="14"/>
      <c r="E28" s="52"/>
      <c r="F28" s="26"/>
      <c r="G28" s="14"/>
      <c r="H28" s="14"/>
      <c r="I28" s="22">
        <f t="shared" si="1"/>
        <v>0</v>
      </c>
      <c r="J28" s="25">
        <f t="shared" si="2"/>
        <v>0</v>
      </c>
      <c r="K28" s="14"/>
      <c r="L28" s="14"/>
      <c r="M28" s="29" t="str">
        <f t="shared" si="3"/>
        <v>CRITICO</v>
      </c>
    </row>
    <row r="29" ht="15.75" customHeight="1">
      <c r="B29" s="5"/>
      <c r="C29" s="53"/>
      <c r="D29" s="38"/>
      <c r="E29" s="52"/>
      <c r="F29" s="38"/>
      <c r="G29" s="38"/>
      <c r="H29" s="38"/>
      <c r="I29" s="38">
        <f t="shared" si="1"/>
        <v>0</v>
      </c>
      <c r="J29" s="25">
        <f t="shared" si="2"/>
        <v>0</v>
      </c>
      <c r="K29" s="38"/>
      <c r="L29" s="54"/>
      <c r="M29" s="29" t="str">
        <f t="shared" si="3"/>
        <v>CRITICO</v>
      </c>
    </row>
    <row r="30" ht="15.75" customHeight="1">
      <c r="B30" s="5"/>
      <c r="C30" s="53"/>
      <c r="D30" s="38"/>
      <c r="E30" s="52"/>
      <c r="F30" s="38"/>
      <c r="G30" s="38"/>
      <c r="H30" s="38"/>
      <c r="I30" s="38">
        <f t="shared" si="1"/>
        <v>0</v>
      </c>
      <c r="J30" s="25">
        <f t="shared" si="2"/>
        <v>0</v>
      </c>
      <c r="K30" s="38"/>
      <c r="L30" s="54"/>
      <c r="M30" s="29" t="str">
        <f t="shared" si="3"/>
        <v>CRITICO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M2"/>
  </mergeCells>
  <conditionalFormatting sqref="M4:M27">
    <cfRule type="expression" dxfId="0" priority="1" stopIfTrue="1">
      <formula>J4=0</formula>
    </cfRule>
  </conditionalFormatting>
  <conditionalFormatting sqref="M4:M27">
    <cfRule type="expression" dxfId="1" priority="2" stopIfTrue="1">
      <formula>AND(J4&gt;0,J4&lt;0.5)</formula>
    </cfRule>
  </conditionalFormatting>
  <conditionalFormatting sqref="M4:M27">
    <cfRule type="expression" dxfId="2" priority="3" stopIfTrue="1">
      <formula>+J4&gt;=0.5</formula>
    </cfRule>
  </conditionalFormatting>
  <conditionalFormatting sqref="M28">
    <cfRule type="expression" dxfId="0" priority="4" stopIfTrue="1">
      <formula>J28=0</formula>
    </cfRule>
  </conditionalFormatting>
  <conditionalFormatting sqref="M28">
    <cfRule type="expression" dxfId="1" priority="5" stopIfTrue="1">
      <formula>AND(J28&gt;0,J28&lt;0.5)</formula>
    </cfRule>
  </conditionalFormatting>
  <conditionalFormatting sqref="M28">
    <cfRule type="expression" dxfId="2" priority="6" stopIfTrue="1">
      <formula>+J28&gt;=0.5</formula>
    </cfRule>
  </conditionalFormatting>
  <conditionalFormatting sqref="M29:M30">
    <cfRule type="expression" dxfId="0" priority="7" stopIfTrue="1">
      <formula>J29=0</formula>
    </cfRule>
  </conditionalFormatting>
  <conditionalFormatting sqref="M29:M30">
    <cfRule type="expression" dxfId="1" priority="8" stopIfTrue="1">
      <formula>AND(J29&gt;0,J29&lt;0.5)</formula>
    </cfRule>
  </conditionalFormatting>
  <conditionalFormatting sqref="M29:M30">
    <cfRule type="expression" dxfId="2" priority="9" stopIfTrue="1">
      <formula>+J29&gt;=0.5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86"/>
    <col customWidth="1" min="3" max="3" width="38.0"/>
    <col customWidth="1" min="4" max="4" width="15.57"/>
    <col customWidth="1" min="5" max="9" width="10.71"/>
    <col customWidth="1" min="10" max="10" width="12.86"/>
    <col customWidth="1" min="11" max="11" width="30.0"/>
    <col customWidth="1" min="12" max="26" width="10.71"/>
  </cols>
  <sheetData>
    <row r="2">
      <c r="B2" s="1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>
      <c r="B3" s="5" t="s">
        <v>4</v>
      </c>
      <c r="C3" s="5" t="s">
        <v>25</v>
      </c>
      <c r="D3" s="5" t="s">
        <v>26</v>
      </c>
      <c r="E3" s="6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7" t="s">
        <v>28</v>
      </c>
      <c r="M3" s="9" t="s">
        <v>16</v>
      </c>
    </row>
    <row r="4">
      <c r="B4" s="10" t="s">
        <v>29</v>
      </c>
      <c r="C4" s="23" t="s">
        <v>30</v>
      </c>
      <c r="D4" s="14">
        <v>6.0</v>
      </c>
      <c r="E4" s="14">
        <v>1.0</v>
      </c>
      <c r="F4" s="26">
        <v>2.0</v>
      </c>
      <c r="G4" s="14"/>
      <c r="H4" s="14"/>
      <c r="I4" s="22">
        <f t="shared" ref="I4:I30" si="1">+F4+G4-H4</f>
        <v>2</v>
      </c>
      <c r="J4" s="25">
        <f t="shared" ref="J4:J30" si="2">+IF(E4=0,0,MIN(MAX((I4-E4)/E4,0),1))</f>
        <v>1</v>
      </c>
      <c r="K4" s="14"/>
      <c r="L4" s="14">
        <v>115.555</v>
      </c>
      <c r="M4" s="29" t="str">
        <f t="shared" ref="M4:M30" si="3">+IF(J4=0,"CRITICO",IF(J4&lt;0.5,"ALERTA","BIEN"))</f>
        <v>BIEN</v>
      </c>
    </row>
    <row r="5">
      <c r="B5" s="10" t="s">
        <v>29</v>
      </c>
      <c r="C5" s="23" t="s">
        <v>36</v>
      </c>
      <c r="D5" s="14">
        <v>6.0</v>
      </c>
      <c r="E5" s="14">
        <v>1.0</v>
      </c>
      <c r="F5" s="26">
        <v>8.0</v>
      </c>
      <c r="G5" s="14"/>
      <c r="H5" s="14">
        <v>8.0</v>
      </c>
      <c r="I5" s="22">
        <f t="shared" si="1"/>
        <v>0</v>
      </c>
      <c r="J5" s="25">
        <f t="shared" si="2"/>
        <v>0</v>
      </c>
      <c r="K5" s="14" t="s">
        <v>39</v>
      </c>
      <c r="L5" s="14">
        <v>69.817</v>
      </c>
      <c r="M5" s="29" t="str">
        <f t="shared" si="3"/>
        <v>CRITICO</v>
      </c>
    </row>
    <row r="6">
      <c r="B6" s="10" t="s">
        <v>29</v>
      </c>
      <c r="C6" s="23" t="s">
        <v>42</v>
      </c>
      <c r="D6" s="14">
        <v>6.0</v>
      </c>
      <c r="E6" s="14">
        <v>1.0</v>
      </c>
      <c r="F6" s="26">
        <v>4.0</v>
      </c>
      <c r="G6" s="14"/>
      <c r="H6" s="14"/>
      <c r="I6" s="22">
        <f t="shared" si="1"/>
        <v>4</v>
      </c>
      <c r="J6" s="25">
        <f t="shared" si="2"/>
        <v>1</v>
      </c>
      <c r="K6" s="14"/>
      <c r="L6" s="14">
        <v>150.521</v>
      </c>
      <c r="M6" s="29" t="str">
        <f t="shared" si="3"/>
        <v>BIEN</v>
      </c>
    </row>
    <row r="7">
      <c r="B7" s="10" t="s">
        <v>29</v>
      </c>
      <c r="C7" s="23" t="s">
        <v>48</v>
      </c>
      <c r="D7" s="14">
        <v>6.0</v>
      </c>
      <c r="E7" s="14">
        <v>1.0</v>
      </c>
      <c r="F7" s="26"/>
      <c r="G7" s="14"/>
      <c r="H7" s="14"/>
      <c r="I7" s="22">
        <f t="shared" si="1"/>
        <v>0</v>
      </c>
      <c r="J7" s="25">
        <f t="shared" si="2"/>
        <v>0</v>
      </c>
      <c r="K7" s="14"/>
      <c r="L7" s="14"/>
      <c r="M7" s="29" t="str">
        <f t="shared" si="3"/>
        <v>CRITICO</v>
      </c>
    </row>
    <row r="8">
      <c r="B8" s="10" t="s">
        <v>29</v>
      </c>
      <c r="C8" s="23" t="s">
        <v>52</v>
      </c>
      <c r="D8" s="14">
        <v>6.0</v>
      </c>
      <c r="E8" s="14">
        <v>1.0</v>
      </c>
      <c r="F8" s="26"/>
      <c r="G8" s="14"/>
      <c r="H8" s="14"/>
      <c r="I8" s="22">
        <f t="shared" si="1"/>
        <v>0</v>
      </c>
      <c r="J8" s="25">
        <f t="shared" si="2"/>
        <v>0</v>
      </c>
      <c r="K8" s="14"/>
      <c r="L8" s="14"/>
      <c r="M8" s="29" t="str">
        <f t="shared" si="3"/>
        <v>CRITICO</v>
      </c>
    </row>
    <row r="9">
      <c r="B9" s="10" t="s">
        <v>29</v>
      </c>
      <c r="C9" s="23" t="s">
        <v>56</v>
      </c>
      <c r="D9" s="14">
        <v>6.0</v>
      </c>
      <c r="E9" s="14">
        <v>1.0</v>
      </c>
      <c r="F9" s="26"/>
      <c r="G9" s="14"/>
      <c r="H9" s="14"/>
      <c r="I9" s="22">
        <f t="shared" si="1"/>
        <v>0</v>
      </c>
      <c r="J9" s="25">
        <f t="shared" si="2"/>
        <v>0</v>
      </c>
      <c r="K9" s="14"/>
      <c r="L9" s="14"/>
      <c r="M9" s="29" t="str">
        <f t="shared" si="3"/>
        <v>CRITICO</v>
      </c>
    </row>
    <row r="10">
      <c r="B10" s="10" t="s">
        <v>29</v>
      </c>
      <c r="C10" s="23" t="s">
        <v>61</v>
      </c>
      <c r="D10" s="14">
        <v>6.0</v>
      </c>
      <c r="E10" s="14">
        <v>1.0</v>
      </c>
      <c r="F10" s="26"/>
      <c r="G10" s="14"/>
      <c r="H10" s="14"/>
      <c r="I10" s="22">
        <f t="shared" si="1"/>
        <v>0</v>
      </c>
      <c r="J10" s="25">
        <f t="shared" si="2"/>
        <v>0</v>
      </c>
      <c r="K10" s="14"/>
      <c r="L10" s="14"/>
      <c r="M10" s="29" t="str">
        <f t="shared" si="3"/>
        <v>CRITICO</v>
      </c>
    </row>
    <row r="11">
      <c r="B11" s="10" t="s">
        <v>29</v>
      </c>
      <c r="C11" s="23" t="s">
        <v>66</v>
      </c>
      <c r="D11" s="14">
        <v>6.0</v>
      </c>
      <c r="E11" s="14">
        <v>1.0</v>
      </c>
      <c r="F11" s="26"/>
      <c r="G11" s="14"/>
      <c r="H11" s="14"/>
      <c r="I11" s="22">
        <f t="shared" si="1"/>
        <v>0</v>
      </c>
      <c r="J11" s="25">
        <f t="shared" si="2"/>
        <v>0</v>
      </c>
      <c r="K11" s="14"/>
      <c r="L11" s="14"/>
      <c r="M11" s="29" t="str">
        <f t="shared" si="3"/>
        <v>CRITICO</v>
      </c>
    </row>
    <row r="12">
      <c r="B12" s="10" t="s">
        <v>29</v>
      </c>
      <c r="C12" s="12" t="s">
        <v>70</v>
      </c>
      <c r="D12" s="15">
        <v>6.0</v>
      </c>
      <c r="E12" s="14">
        <v>1.0</v>
      </c>
      <c r="F12" s="17">
        <v>11.0</v>
      </c>
      <c r="G12" s="14"/>
      <c r="H12" s="15">
        <v>7.0</v>
      </c>
      <c r="I12" s="22">
        <f t="shared" si="1"/>
        <v>4</v>
      </c>
      <c r="J12" s="25">
        <f t="shared" si="2"/>
        <v>1</v>
      </c>
      <c r="K12" s="14"/>
      <c r="L12" s="14"/>
      <c r="M12" s="29" t="str">
        <f t="shared" si="3"/>
        <v>BIEN</v>
      </c>
    </row>
    <row r="13">
      <c r="B13" s="10" t="s">
        <v>29</v>
      </c>
      <c r="C13" s="41" t="s">
        <v>73</v>
      </c>
      <c r="D13" s="15">
        <v>6.0</v>
      </c>
      <c r="E13" s="14">
        <v>1.0</v>
      </c>
      <c r="F13" s="17">
        <v>2.0</v>
      </c>
      <c r="G13" s="14"/>
      <c r="H13" s="14"/>
      <c r="I13" s="22">
        <f t="shared" si="1"/>
        <v>2</v>
      </c>
      <c r="J13" s="25">
        <f t="shared" si="2"/>
        <v>1</v>
      </c>
      <c r="K13" s="14"/>
      <c r="L13" s="14"/>
      <c r="M13" s="29" t="str">
        <f t="shared" si="3"/>
        <v>BIEN</v>
      </c>
    </row>
    <row r="14">
      <c r="B14" s="10" t="s">
        <v>29</v>
      </c>
      <c r="C14" s="12" t="s">
        <v>77</v>
      </c>
      <c r="D14" s="15">
        <v>6.0</v>
      </c>
      <c r="E14" s="14">
        <v>1.0</v>
      </c>
      <c r="F14" s="17">
        <v>4.0</v>
      </c>
      <c r="G14" s="14"/>
      <c r="H14" s="14"/>
      <c r="I14" s="22">
        <f t="shared" si="1"/>
        <v>4</v>
      </c>
      <c r="J14" s="25">
        <f t="shared" si="2"/>
        <v>1</v>
      </c>
      <c r="K14" s="14"/>
      <c r="L14" s="14"/>
      <c r="M14" s="29" t="str">
        <f t="shared" si="3"/>
        <v>BIEN</v>
      </c>
    </row>
    <row r="15">
      <c r="B15" s="10" t="s">
        <v>29</v>
      </c>
      <c r="C15" s="23"/>
      <c r="D15" s="14"/>
      <c r="E15" s="14">
        <v>1.0</v>
      </c>
      <c r="F15" s="26"/>
      <c r="G15" s="14"/>
      <c r="H15" s="14"/>
      <c r="I15" s="22">
        <f t="shared" si="1"/>
        <v>0</v>
      </c>
      <c r="J15" s="25">
        <f t="shared" si="2"/>
        <v>0</v>
      </c>
      <c r="K15" s="14"/>
      <c r="L15" s="14"/>
      <c r="M15" s="29" t="str">
        <f t="shared" si="3"/>
        <v>CRITICO</v>
      </c>
    </row>
    <row r="16">
      <c r="B16" s="10" t="s">
        <v>29</v>
      </c>
      <c r="C16" s="23"/>
      <c r="D16" s="14"/>
      <c r="E16" s="14">
        <v>1.0</v>
      </c>
      <c r="F16" s="26"/>
      <c r="G16" s="14"/>
      <c r="H16" s="14"/>
      <c r="I16" s="22">
        <f t="shared" si="1"/>
        <v>0</v>
      </c>
      <c r="J16" s="25">
        <f t="shared" si="2"/>
        <v>0</v>
      </c>
      <c r="K16" s="14"/>
      <c r="L16" s="14"/>
      <c r="M16" s="29" t="str">
        <f t="shared" si="3"/>
        <v>CRITICO</v>
      </c>
    </row>
    <row r="17">
      <c r="B17" s="10" t="s">
        <v>29</v>
      </c>
      <c r="C17" s="23"/>
      <c r="D17" s="14"/>
      <c r="E17" s="14">
        <v>1.0</v>
      </c>
      <c r="F17" s="26"/>
      <c r="G17" s="14"/>
      <c r="H17" s="14"/>
      <c r="I17" s="22">
        <f t="shared" si="1"/>
        <v>0</v>
      </c>
      <c r="J17" s="25">
        <f t="shared" si="2"/>
        <v>0</v>
      </c>
      <c r="K17" s="14"/>
      <c r="L17" s="14"/>
      <c r="M17" s="29" t="str">
        <f t="shared" si="3"/>
        <v>CRITICO</v>
      </c>
    </row>
    <row r="18">
      <c r="B18" s="10" t="s">
        <v>29</v>
      </c>
      <c r="C18" s="23"/>
      <c r="D18" s="14"/>
      <c r="E18" s="14">
        <v>1.0</v>
      </c>
      <c r="F18" s="26"/>
      <c r="G18" s="14"/>
      <c r="H18" s="14"/>
      <c r="I18" s="22">
        <f t="shared" si="1"/>
        <v>0</v>
      </c>
      <c r="J18" s="25">
        <f t="shared" si="2"/>
        <v>0</v>
      </c>
      <c r="K18" s="14"/>
      <c r="L18" s="14"/>
      <c r="M18" s="29" t="str">
        <f t="shared" si="3"/>
        <v>CRITICO</v>
      </c>
    </row>
    <row r="19">
      <c r="B19" s="10" t="s">
        <v>29</v>
      </c>
      <c r="C19" s="43"/>
      <c r="D19" s="14"/>
      <c r="E19" s="14">
        <v>1.0</v>
      </c>
      <c r="F19" s="26"/>
      <c r="G19" s="14"/>
      <c r="H19" s="14"/>
      <c r="I19" s="22">
        <f t="shared" si="1"/>
        <v>0</v>
      </c>
      <c r="J19" s="25">
        <f t="shared" si="2"/>
        <v>0</v>
      </c>
      <c r="K19" s="14"/>
      <c r="L19" s="14"/>
      <c r="M19" s="29" t="str">
        <f t="shared" si="3"/>
        <v>CRITICO</v>
      </c>
    </row>
    <row r="20">
      <c r="B20" s="10" t="s">
        <v>29</v>
      </c>
      <c r="C20" s="43"/>
      <c r="D20" s="14"/>
      <c r="E20" s="14">
        <v>1.0</v>
      </c>
      <c r="F20" s="26"/>
      <c r="G20" s="14"/>
      <c r="H20" s="14"/>
      <c r="I20" s="22">
        <f t="shared" si="1"/>
        <v>0</v>
      </c>
      <c r="J20" s="25">
        <f t="shared" si="2"/>
        <v>0</v>
      </c>
      <c r="K20" s="14"/>
      <c r="L20" s="14"/>
      <c r="M20" s="29" t="str">
        <f t="shared" si="3"/>
        <v>CRITICO</v>
      </c>
    </row>
    <row r="21" ht="15.75" customHeight="1">
      <c r="B21" s="10" t="s">
        <v>29</v>
      </c>
      <c r="C21" s="43"/>
      <c r="D21" s="14"/>
      <c r="E21" s="14">
        <v>1.0</v>
      </c>
      <c r="F21" s="26"/>
      <c r="G21" s="14"/>
      <c r="H21" s="14"/>
      <c r="I21" s="22">
        <f t="shared" si="1"/>
        <v>0</v>
      </c>
      <c r="J21" s="25">
        <f t="shared" si="2"/>
        <v>0</v>
      </c>
      <c r="K21" s="14"/>
      <c r="L21" s="14"/>
      <c r="M21" s="29" t="str">
        <f t="shared" si="3"/>
        <v>CRITICO</v>
      </c>
    </row>
    <row r="22" ht="15.75" customHeight="1">
      <c r="B22" s="10" t="s">
        <v>29</v>
      </c>
      <c r="C22" s="43"/>
      <c r="D22" s="14"/>
      <c r="E22" s="14">
        <v>1.0</v>
      </c>
      <c r="F22" s="26"/>
      <c r="G22" s="14"/>
      <c r="H22" s="14"/>
      <c r="I22" s="22">
        <f t="shared" si="1"/>
        <v>0</v>
      </c>
      <c r="J22" s="25">
        <f t="shared" si="2"/>
        <v>0</v>
      </c>
      <c r="K22" s="14"/>
      <c r="L22" s="14"/>
      <c r="M22" s="29" t="str">
        <f t="shared" si="3"/>
        <v>CRITICO</v>
      </c>
    </row>
    <row r="23" ht="15.75" customHeight="1">
      <c r="B23" s="10" t="s">
        <v>29</v>
      </c>
      <c r="C23" s="43"/>
      <c r="D23" s="14"/>
      <c r="E23" s="14">
        <v>1.0</v>
      </c>
      <c r="F23" s="26"/>
      <c r="G23" s="14"/>
      <c r="H23" s="14"/>
      <c r="I23" s="22">
        <f t="shared" si="1"/>
        <v>0</v>
      </c>
      <c r="J23" s="25">
        <f t="shared" si="2"/>
        <v>0</v>
      </c>
      <c r="K23" s="14"/>
      <c r="L23" s="14"/>
      <c r="M23" s="29" t="str">
        <f t="shared" si="3"/>
        <v>CRITICO</v>
      </c>
    </row>
    <row r="24" ht="15.75" customHeight="1">
      <c r="B24" s="10" t="s">
        <v>29</v>
      </c>
      <c r="C24" s="43"/>
      <c r="D24" s="14"/>
      <c r="E24" s="14">
        <v>1.0</v>
      </c>
      <c r="F24" s="26"/>
      <c r="G24" s="14"/>
      <c r="H24" s="14"/>
      <c r="I24" s="22">
        <f t="shared" si="1"/>
        <v>0</v>
      </c>
      <c r="J24" s="25">
        <f t="shared" si="2"/>
        <v>0</v>
      </c>
      <c r="K24" s="14"/>
      <c r="L24" s="14"/>
      <c r="M24" s="29" t="str">
        <f t="shared" si="3"/>
        <v>CRITICO</v>
      </c>
    </row>
    <row r="25" ht="15.75" customHeight="1">
      <c r="B25" s="10" t="s">
        <v>29</v>
      </c>
      <c r="C25" s="43"/>
      <c r="D25" s="14"/>
      <c r="E25" s="14">
        <v>1.0</v>
      </c>
      <c r="F25" s="26"/>
      <c r="G25" s="14"/>
      <c r="H25" s="14"/>
      <c r="I25" s="22">
        <f t="shared" si="1"/>
        <v>0</v>
      </c>
      <c r="J25" s="25">
        <f t="shared" si="2"/>
        <v>0</v>
      </c>
      <c r="K25" s="14"/>
      <c r="L25" s="14"/>
      <c r="M25" s="29" t="str">
        <f t="shared" si="3"/>
        <v>CRITICO</v>
      </c>
    </row>
    <row r="26" ht="15.75" customHeight="1">
      <c r="B26" s="10" t="s">
        <v>29</v>
      </c>
      <c r="C26" s="43"/>
      <c r="D26" s="14"/>
      <c r="E26" s="14">
        <v>1.0</v>
      </c>
      <c r="F26" s="26"/>
      <c r="G26" s="14"/>
      <c r="H26" s="14"/>
      <c r="I26" s="22">
        <f t="shared" si="1"/>
        <v>0</v>
      </c>
      <c r="J26" s="25">
        <f t="shared" si="2"/>
        <v>0</v>
      </c>
      <c r="K26" s="14"/>
      <c r="L26" s="14"/>
      <c r="M26" s="29" t="str">
        <f t="shared" si="3"/>
        <v>CRITICO</v>
      </c>
    </row>
    <row r="27" ht="15.75" customHeight="1">
      <c r="B27" s="10" t="s">
        <v>29</v>
      </c>
      <c r="C27" s="43"/>
      <c r="D27" s="14"/>
      <c r="E27" s="14">
        <v>1.0</v>
      </c>
      <c r="F27" s="26"/>
      <c r="G27" s="14"/>
      <c r="H27" s="14"/>
      <c r="I27" s="22">
        <f t="shared" si="1"/>
        <v>0</v>
      </c>
      <c r="J27" s="25">
        <f t="shared" si="2"/>
        <v>0</v>
      </c>
      <c r="K27" s="14"/>
      <c r="L27" s="14"/>
      <c r="M27" s="51" t="str">
        <f t="shared" si="3"/>
        <v>CRITICO</v>
      </c>
    </row>
    <row r="28" ht="15.75" customHeight="1">
      <c r="B28" s="10" t="s">
        <v>29</v>
      </c>
      <c r="C28" s="43"/>
      <c r="D28" s="14"/>
      <c r="E28" s="52">
        <v>1.0</v>
      </c>
      <c r="F28" s="26"/>
      <c r="G28" s="14"/>
      <c r="H28" s="14"/>
      <c r="I28" s="22">
        <f t="shared" si="1"/>
        <v>0</v>
      </c>
      <c r="J28" s="25">
        <f t="shared" si="2"/>
        <v>0</v>
      </c>
      <c r="K28" s="14"/>
      <c r="L28" s="14"/>
      <c r="M28" s="29" t="str">
        <f t="shared" si="3"/>
        <v>CRITICO</v>
      </c>
    </row>
    <row r="29" ht="15.75" customHeight="1">
      <c r="B29" s="10" t="s">
        <v>29</v>
      </c>
      <c r="C29" s="53"/>
      <c r="D29" s="38"/>
      <c r="E29" s="52">
        <v>1.0</v>
      </c>
      <c r="F29" s="38"/>
      <c r="G29" s="38"/>
      <c r="H29" s="38"/>
      <c r="I29" s="38">
        <f t="shared" si="1"/>
        <v>0</v>
      </c>
      <c r="J29" s="25">
        <f t="shared" si="2"/>
        <v>0</v>
      </c>
      <c r="K29" s="38"/>
      <c r="L29" s="54"/>
      <c r="M29" s="29" t="str">
        <f t="shared" si="3"/>
        <v>CRITICO</v>
      </c>
    </row>
    <row r="30" ht="15.75" customHeight="1">
      <c r="B30" s="10" t="s">
        <v>29</v>
      </c>
      <c r="C30" s="53"/>
      <c r="D30" s="38"/>
      <c r="E30" s="52">
        <v>1.0</v>
      </c>
      <c r="F30" s="38"/>
      <c r="G30" s="38"/>
      <c r="H30" s="38"/>
      <c r="I30" s="38">
        <f t="shared" si="1"/>
        <v>0</v>
      </c>
      <c r="J30" s="25">
        <f t="shared" si="2"/>
        <v>0</v>
      </c>
      <c r="K30" s="38"/>
      <c r="L30" s="54"/>
      <c r="M30" s="29" t="str">
        <f t="shared" si="3"/>
        <v>CRITICO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M2"/>
  </mergeCells>
  <conditionalFormatting sqref="M4:M27">
    <cfRule type="expression" dxfId="0" priority="1" stopIfTrue="1">
      <formula>J4=0</formula>
    </cfRule>
  </conditionalFormatting>
  <conditionalFormatting sqref="M4:M27">
    <cfRule type="expression" dxfId="1" priority="2" stopIfTrue="1">
      <formula>AND(J4&gt;0,J4&lt;0.5)</formula>
    </cfRule>
  </conditionalFormatting>
  <conditionalFormatting sqref="M4:M27">
    <cfRule type="expression" dxfId="2" priority="3" stopIfTrue="1">
      <formula>+J4&gt;=0.5</formula>
    </cfRule>
  </conditionalFormatting>
  <conditionalFormatting sqref="M28">
    <cfRule type="expression" dxfId="0" priority="4" stopIfTrue="1">
      <formula>J28=0</formula>
    </cfRule>
  </conditionalFormatting>
  <conditionalFormatting sqref="M28">
    <cfRule type="expression" dxfId="1" priority="5" stopIfTrue="1">
      <formula>AND(J28&gt;0,J28&lt;0.5)</formula>
    </cfRule>
  </conditionalFormatting>
  <conditionalFormatting sqref="M28">
    <cfRule type="expression" dxfId="2" priority="6" stopIfTrue="1">
      <formula>+J28&gt;=0.5</formula>
    </cfRule>
  </conditionalFormatting>
  <conditionalFormatting sqref="M29:M30">
    <cfRule type="expression" dxfId="0" priority="7" stopIfTrue="1">
      <formula>J29=0</formula>
    </cfRule>
  </conditionalFormatting>
  <conditionalFormatting sqref="M29:M30">
    <cfRule type="expression" dxfId="1" priority="8" stopIfTrue="1">
      <formula>AND(J29&gt;0,J29&lt;0.5)</formula>
    </cfRule>
  </conditionalFormatting>
  <conditionalFormatting sqref="M29:M30">
    <cfRule type="expression" dxfId="2" priority="9" stopIfTrue="1">
      <formula>+J29&gt;=0.5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9.43"/>
    <col customWidth="1" min="3" max="3" width="52.57"/>
    <col customWidth="1" min="4" max="4" width="16.29"/>
    <col customWidth="1" min="5" max="10" width="10.71"/>
    <col customWidth="1" min="11" max="11" width="105.57"/>
    <col customWidth="1" min="12" max="26" width="10.71"/>
  </cols>
  <sheetData>
    <row r="1">
      <c r="B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>
      <c r="B2" s="5" t="s">
        <v>4</v>
      </c>
      <c r="C2" s="5" t="s">
        <v>5</v>
      </c>
      <c r="D2" s="5" t="s">
        <v>6</v>
      </c>
      <c r="E2" s="6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8" t="s">
        <v>15</v>
      </c>
      <c r="M2" s="9" t="s">
        <v>16</v>
      </c>
    </row>
    <row r="3">
      <c r="B3" s="11" t="s">
        <v>18</v>
      </c>
      <c r="C3" s="13" t="s">
        <v>20</v>
      </c>
      <c r="D3" s="16"/>
      <c r="E3" s="18">
        <v>2.0</v>
      </c>
      <c r="F3" s="19">
        <v>8.0</v>
      </c>
      <c r="G3" s="20"/>
      <c r="H3" s="21">
        <v>3.0</v>
      </c>
      <c r="I3" s="24">
        <f t="shared" ref="I3:I38" si="1">+F3+G3-H3</f>
        <v>5</v>
      </c>
      <c r="J3" s="27">
        <f t="shared" ref="J3:J11" si="2">+IF(E3=0,0,MIN(MAX((I3-E3)/E3,0),1))</f>
        <v>1</v>
      </c>
      <c r="K3" s="16"/>
      <c r="L3" s="28">
        <v>1000.0</v>
      </c>
      <c r="M3" s="29" t="str">
        <f t="shared" ref="M3:M162" si="3">+IF(J3=0,"CRITICO",IF(J3&lt;0.5,"ALERTA","BIEN"))</f>
        <v>BIEN</v>
      </c>
    </row>
    <row r="4">
      <c r="B4" s="11" t="s">
        <v>18</v>
      </c>
      <c r="C4" s="13" t="s">
        <v>31</v>
      </c>
      <c r="D4" s="16"/>
      <c r="E4" s="18">
        <v>2.0</v>
      </c>
      <c r="F4" s="30">
        <v>10.0</v>
      </c>
      <c r="G4" s="20"/>
      <c r="H4" s="21">
        <v>6.0</v>
      </c>
      <c r="I4" s="24">
        <f t="shared" si="1"/>
        <v>4</v>
      </c>
      <c r="J4" s="27">
        <f t="shared" si="2"/>
        <v>1</v>
      </c>
      <c r="K4" s="16"/>
      <c r="L4" s="28">
        <v>16000.0</v>
      </c>
      <c r="M4" s="29" t="str">
        <f t="shared" si="3"/>
        <v>BIEN</v>
      </c>
    </row>
    <row r="5">
      <c r="B5" s="11" t="s">
        <v>18</v>
      </c>
      <c r="C5" s="13" t="s">
        <v>33</v>
      </c>
      <c r="D5" s="16"/>
      <c r="E5" s="18">
        <v>2.0</v>
      </c>
      <c r="F5" s="30">
        <v>7.0</v>
      </c>
      <c r="G5" s="20"/>
      <c r="H5" s="20"/>
      <c r="I5" s="24">
        <f t="shared" si="1"/>
        <v>7</v>
      </c>
      <c r="J5" s="27">
        <f t="shared" si="2"/>
        <v>1</v>
      </c>
      <c r="K5" s="16"/>
      <c r="L5" s="28"/>
      <c r="M5" s="29" t="str">
        <f t="shared" si="3"/>
        <v>BIEN</v>
      </c>
    </row>
    <row r="6">
      <c r="B6" s="11" t="s">
        <v>18</v>
      </c>
      <c r="C6" s="13" t="s">
        <v>38</v>
      </c>
      <c r="D6" s="16"/>
      <c r="E6" s="18">
        <v>2.0</v>
      </c>
      <c r="F6" s="30">
        <v>11.0</v>
      </c>
      <c r="G6" s="20"/>
      <c r="H6" s="20"/>
      <c r="I6" s="24">
        <f t="shared" si="1"/>
        <v>11</v>
      </c>
      <c r="J6" s="27">
        <f t="shared" si="2"/>
        <v>1</v>
      </c>
      <c r="K6" s="16"/>
      <c r="L6" s="31">
        <v>23000.0</v>
      </c>
      <c r="M6" s="29" t="str">
        <f t="shared" si="3"/>
        <v>BIEN</v>
      </c>
    </row>
    <row r="7">
      <c r="B7" s="11" t="s">
        <v>18</v>
      </c>
      <c r="C7" s="13" t="s">
        <v>44</v>
      </c>
      <c r="D7" s="18" t="s">
        <v>45</v>
      </c>
      <c r="E7" s="18">
        <v>1.0</v>
      </c>
      <c r="F7" s="30">
        <v>2.0</v>
      </c>
      <c r="G7" s="32"/>
      <c r="H7" s="32"/>
      <c r="I7" s="24">
        <f t="shared" si="1"/>
        <v>2</v>
      </c>
      <c r="J7" s="27">
        <f t="shared" si="2"/>
        <v>1</v>
      </c>
      <c r="K7" s="16"/>
      <c r="L7" s="28">
        <v>26000.0</v>
      </c>
      <c r="M7" s="29" t="str">
        <f t="shared" si="3"/>
        <v>BIEN</v>
      </c>
    </row>
    <row r="8">
      <c r="B8" s="11" t="s">
        <v>18</v>
      </c>
      <c r="C8" s="13" t="s">
        <v>49</v>
      </c>
      <c r="D8" s="18" t="s">
        <v>24</v>
      </c>
      <c r="E8" s="18">
        <v>1.0</v>
      </c>
      <c r="F8" s="30">
        <v>2.0</v>
      </c>
      <c r="G8" s="32"/>
      <c r="H8" s="32"/>
      <c r="I8" s="24">
        <f t="shared" si="1"/>
        <v>2</v>
      </c>
      <c r="J8" s="27">
        <f t="shared" si="2"/>
        <v>1</v>
      </c>
      <c r="K8" s="16"/>
      <c r="L8" s="28">
        <v>70000.0</v>
      </c>
      <c r="M8" s="29" t="str">
        <f t="shared" si="3"/>
        <v>BIEN</v>
      </c>
    </row>
    <row r="9">
      <c r="B9" s="11" t="s">
        <v>18</v>
      </c>
      <c r="C9" s="13" t="s">
        <v>54</v>
      </c>
      <c r="D9" s="16"/>
      <c r="E9" s="18">
        <v>0.0</v>
      </c>
      <c r="F9" s="30">
        <v>0.0</v>
      </c>
      <c r="G9" s="32"/>
      <c r="H9" s="32"/>
      <c r="I9" s="24">
        <f t="shared" si="1"/>
        <v>0</v>
      </c>
      <c r="J9" s="27">
        <f t="shared" si="2"/>
        <v>0</v>
      </c>
      <c r="K9" s="33" t="s">
        <v>58</v>
      </c>
      <c r="L9" s="28"/>
      <c r="M9" s="29" t="str">
        <f t="shared" si="3"/>
        <v>CRITICO</v>
      </c>
    </row>
    <row r="10">
      <c r="B10" s="11" t="s">
        <v>18</v>
      </c>
      <c r="C10" s="13" t="s">
        <v>59</v>
      </c>
      <c r="D10" s="16"/>
      <c r="E10" s="34">
        <v>1.0</v>
      </c>
      <c r="F10" s="30">
        <v>2.0</v>
      </c>
      <c r="G10" s="35"/>
      <c r="H10" s="35"/>
      <c r="I10" s="24">
        <f t="shared" si="1"/>
        <v>2</v>
      </c>
      <c r="J10" s="27">
        <f t="shared" si="2"/>
        <v>1</v>
      </c>
      <c r="K10" s="24"/>
      <c r="L10" s="28">
        <v>10000.0</v>
      </c>
      <c r="M10" s="29" t="str">
        <f t="shared" si="3"/>
        <v>BIEN</v>
      </c>
    </row>
    <row r="11">
      <c r="B11" s="11" t="s">
        <v>18</v>
      </c>
      <c r="C11" s="13" t="s">
        <v>65</v>
      </c>
      <c r="D11" s="16"/>
      <c r="E11" s="34">
        <v>1.0</v>
      </c>
      <c r="F11" s="30">
        <v>2.0</v>
      </c>
      <c r="G11" s="35"/>
      <c r="H11" s="30"/>
      <c r="I11" s="24">
        <f t="shared" si="1"/>
        <v>2</v>
      </c>
      <c r="J11" s="27">
        <f t="shared" si="2"/>
        <v>1</v>
      </c>
      <c r="K11" s="33" t="s">
        <v>58</v>
      </c>
      <c r="L11" s="28"/>
      <c r="M11" s="29" t="str">
        <f t="shared" si="3"/>
        <v>BIEN</v>
      </c>
    </row>
    <row r="12">
      <c r="B12" s="11" t="s">
        <v>18</v>
      </c>
      <c r="C12" s="13" t="s">
        <v>69</v>
      </c>
      <c r="D12" s="16"/>
      <c r="E12" s="34">
        <v>1.0</v>
      </c>
      <c r="F12" s="39">
        <v>4.0</v>
      </c>
      <c r="G12" s="32"/>
      <c r="H12" s="32"/>
      <c r="I12" s="24">
        <f t="shared" si="1"/>
        <v>4</v>
      </c>
      <c r="J12" s="40">
        <v>0.0</v>
      </c>
      <c r="K12" s="33" t="s">
        <v>72</v>
      </c>
      <c r="L12" s="28"/>
      <c r="M12" s="29" t="str">
        <f t="shared" si="3"/>
        <v>CRITICO</v>
      </c>
    </row>
    <row r="13">
      <c r="B13" s="11" t="s">
        <v>18</v>
      </c>
      <c r="C13" s="13" t="s">
        <v>54</v>
      </c>
      <c r="D13" s="16"/>
      <c r="E13" s="34">
        <v>1.0</v>
      </c>
      <c r="F13" s="39">
        <v>4.0</v>
      </c>
      <c r="G13" s="32"/>
      <c r="H13" s="32"/>
      <c r="I13" s="24">
        <f t="shared" si="1"/>
        <v>4</v>
      </c>
      <c r="J13" s="27">
        <f t="shared" ref="J13:J87" si="4">+IF(E13=0,0,MIN(MAX((I13-E13)/E13,0),1))</f>
        <v>1</v>
      </c>
      <c r="K13" s="33" t="s">
        <v>76</v>
      </c>
      <c r="L13" s="28"/>
      <c r="M13" s="29" t="str">
        <f t="shared" si="3"/>
        <v>BIEN</v>
      </c>
    </row>
    <row r="14">
      <c r="B14" s="11" t="s">
        <v>18</v>
      </c>
      <c r="C14" s="13" t="s">
        <v>80</v>
      </c>
      <c r="D14" s="16"/>
      <c r="E14" s="34">
        <v>1.0</v>
      </c>
      <c r="F14" s="39">
        <v>2.0</v>
      </c>
      <c r="G14" s="44"/>
      <c r="H14" s="44"/>
      <c r="I14" s="24">
        <f t="shared" si="1"/>
        <v>2</v>
      </c>
      <c r="J14" s="27">
        <f t="shared" si="4"/>
        <v>1</v>
      </c>
      <c r="K14" s="33" t="s">
        <v>81</v>
      </c>
      <c r="L14" s="28"/>
      <c r="M14" s="29" t="str">
        <f t="shared" si="3"/>
        <v>BIEN</v>
      </c>
    </row>
    <row r="15">
      <c r="B15" s="11" t="s">
        <v>18</v>
      </c>
      <c r="C15" s="45" t="s">
        <v>84</v>
      </c>
      <c r="D15" s="16"/>
      <c r="E15" s="34">
        <v>10.0</v>
      </c>
      <c r="F15" s="30">
        <v>50.0</v>
      </c>
      <c r="G15" s="32"/>
      <c r="H15" s="32"/>
      <c r="I15" s="24">
        <f t="shared" si="1"/>
        <v>50</v>
      </c>
      <c r="J15" s="27">
        <f t="shared" si="4"/>
        <v>1</v>
      </c>
      <c r="K15" s="33" t="s">
        <v>58</v>
      </c>
      <c r="L15" s="28">
        <v>2500.0</v>
      </c>
      <c r="M15" s="29" t="str">
        <f t="shared" si="3"/>
        <v>BIEN</v>
      </c>
    </row>
    <row r="16">
      <c r="B16" s="11" t="s">
        <v>18</v>
      </c>
      <c r="C16" s="45" t="s">
        <v>88</v>
      </c>
      <c r="D16" s="18" t="s">
        <v>24</v>
      </c>
      <c r="E16" s="34">
        <v>1.0</v>
      </c>
      <c r="F16" s="30">
        <v>2.0</v>
      </c>
      <c r="G16" s="30"/>
      <c r="H16" s="30"/>
      <c r="I16" s="24">
        <f t="shared" si="1"/>
        <v>2</v>
      </c>
      <c r="J16" s="27">
        <f t="shared" si="4"/>
        <v>1</v>
      </c>
      <c r="K16" s="33"/>
      <c r="L16" s="28"/>
      <c r="M16" s="29" t="str">
        <f t="shared" si="3"/>
        <v>BIEN</v>
      </c>
    </row>
    <row r="17">
      <c r="B17" s="11" t="s">
        <v>18</v>
      </c>
      <c r="C17" s="45" t="s">
        <v>90</v>
      </c>
      <c r="D17" s="16"/>
      <c r="E17" s="34">
        <v>1.0</v>
      </c>
      <c r="F17" s="30">
        <v>1.0</v>
      </c>
      <c r="G17" s="30"/>
      <c r="H17" s="30"/>
      <c r="I17" s="24">
        <f t="shared" si="1"/>
        <v>1</v>
      </c>
      <c r="J17" s="27">
        <f t="shared" si="4"/>
        <v>0</v>
      </c>
      <c r="K17" s="24"/>
      <c r="L17" s="28"/>
      <c r="M17" s="29" t="str">
        <f t="shared" si="3"/>
        <v>CRITICO</v>
      </c>
    </row>
    <row r="18">
      <c r="B18" s="11" t="s">
        <v>18</v>
      </c>
      <c r="C18" s="45" t="s">
        <v>93</v>
      </c>
      <c r="D18" s="16"/>
      <c r="E18" s="34">
        <v>1.0</v>
      </c>
      <c r="F18" s="30">
        <v>1.0</v>
      </c>
      <c r="G18" s="35"/>
      <c r="H18" s="30"/>
      <c r="I18" s="24">
        <f t="shared" si="1"/>
        <v>1</v>
      </c>
      <c r="J18" s="27">
        <f t="shared" si="4"/>
        <v>0</v>
      </c>
      <c r="K18" s="24"/>
      <c r="L18" s="28"/>
      <c r="M18" s="29" t="str">
        <f t="shared" si="3"/>
        <v>CRITICO</v>
      </c>
    </row>
    <row r="19">
      <c r="B19" s="46" t="s">
        <v>18</v>
      </c>
      <c r="C19" s="47" t="s">
        <v>95</v>
      </c>
      <c r="D19" s="32" t="s">
        <v>96</v>
      </c>
      <c r="E19" s="48">
        <v>1.0</v>
      </c>
      <c r="F19" s="49">
        <v>0.5</v>
      </c>
      <c r="G19" s="32"/>
      <c r="H19" s="50"/>
      <c r="I19" s="24">
        <f t="shared" si="1"/>
        <v>0.5</v>
      </c>
      <c r="J19" s="27">
        <f t="shared" si="4"/>
        <v>0</v>
      </c>
      <c r="K19" s="16"/>
      <c r="L19" s="28"/>
      <c r="M19" s="29" t="str">
        <f t="shared" si="3"/>
        <v>CRITICO</v>
      </c>
    </row>
    <row r="20">
      <c r="B20" s="11" t="s">
        <v>18</v>
      </c>
      <c r="C20" s="45" t="s">
        <v>97</v>
      </c>
      <c r="D20" s="18" t="s">
        <v>24</v>
      </c>
      <c r="E20" s="34">
        <v>1.0</v>
      </c>
      <c r="F20" s="30">
        <v>2.0</v>
      </c>
      <c r="G20" s="35"/>
      <c r="H20" s="30"/>
      <c r="I20" s="24">
        <f t="shared" si="1"/>
        <v>2</v>
      </c>
      <c r="J20" s="27">
        <f t="shared" si="4"/>
        <v>1</v>
      </c>
      <c r="K20" s="16"/>
      <c r="L20" s="28"/>
      <c r="M20" s="29" t="str">
        <f t="shared" si="3"/>
        <v>BIEN</v>
      </c>
    </row>
    <row r="21" ht="15.75" customHeight="1">
      <c r="B21" s="11" t="s">
        <v>18</v>
      </c>
      <c r="C21" s="45" t="s">
        <v>99</v>
      </c>
      <c r="D21" s="16"/>
      <c r="E21" s="34">
        <v>1.0</v>
      </c>
      <c r="F21" s="30">
        <v>1.0</v>
      </c>
      <c r="G21" s="32"/>
      <c r="H21" s="32"/>
      <c r="I21" s="24">
        <f t="shared" si="1"/>
        <v>1</v>
      </c>
      <c r="J21" s="27">
        <f t="shared" si="4"/>
        <v>0</v>
      </c>
      <c r="K21" s="16"/>
      <c r="L21" s="28"/>
      <c r="M21" s="29" t="str">
        <f t="shared" si="3"/>
        <v>CRITICO</v>
      </c>
    </row>
    <row r="22" ht="15.75" customHeight="1">
      <c r="B22" s="11" t="s">
        <v>18</v>
      </c>
      <c r="C22" s="13" t="s">
        <v>101</v>
      </c>
      <c r="D22" s="18" t="s">
        <v>102</v>
      </c>
      <c r="E22" s="34">
        <v>1.0</v>
      </c>
      <c r="F22" s="30">
        <v>1.0</v>
      </c>
      <c r="G22" s="32"/>
      <c r="H22" s="32"/>
      <c r="I22" s="24">
        <f t="shared" si="1"/>
        <v>1</v>
      </c>
      <c r="J22" s="27">
        <f t="shared" si="4"/>
        <v>0</v>
      </c>
      <c r="K22" s="16"/>
      <c r="L22" s="28">
        <v>168990.0</v>
      </c>
      <c r="M22" s="29" t="str">
        <f t="shared" si="3"/>
        <v>CRITICO</v>
      </c>
    </row>
    <row r="23" ht="15.75" customHeight="1">
      <c r="B23" s="11" t="s">
        <v>18</v>
      </c>
      <c r="C23" s="13" t="s">
        <v>103</v>
      </c>
      <c r="D23" s="18" t="s">
        <v>104</v>
      </c>
      <c r="E23" s="34">
        <v>1.0</v>
      </c>
      <c r="F23" s="30">
        <v>2.0</v>
      </c>
      <c r="G23" s="32"/>
      <c r="H23" s="50"/>
      <c r="I23" s="24">
        <f t="shared" si="1"/>
        <v>2</v>
      </c>
      <c r="J23" s="27">
        <f t="shared" si="4"/>
        <v>1</v>
      </c>
      <c r="K23" s="16"/>
      <c r="L23" s="28">
        <v>204450.0</v>
      </c>
      <c r="M23" s="29" t="str">
        <f t="shared" si="3"/>
        <v>BIEN</v>
      </c>
    </row>
    <row r="24" ht="15.75" customHeight="1">
      <c r="B24" s="11" t="s">
        <v>18</v>
      </c>
      <c r="C24" s="13" t="s">
        <v>105</v>
      </c>
      <c r="D24" s="18" t="s">
        <v>106</v>
      </c>
      <c r="E24" s="34">
        <v>1.0</v>
      </c>
      <c r="F24" s="30">
        <v>1.0</v>
      </c>
      <c r="G24" s="32"/>
      <c r="H24" s="50"/>
      <c r="I24" s="24">
        <f t="shared" si="1"/>
        <v>1</v>
      </c>
      <c r="J24" s="27">
        <f t="shared" si="4"/>
        <v>0</v>
      </c>
      <c r="K24" s="24"/>
      <c r="L24" s="28"/>
      <c r="M24" s="29" t="str">
        <f t="shared" si="3"/>
        <v>CRITICO</v>
      </c>
    </row>
    <row r="25" ht="15.75" customHeight="1">
      <c r="B25" s="11" t="s">
        <v>18</v>
      </c>
      <c r="C25" s="13" t="s">
        <v>108</v>
      </c>
      <c r="D25" s="16"/>
      <c r="E25" s="34">
        <v>1.0</v>
      </c>
      <c r="F25" s="30">
        <v>1.0</v>
      </c>
      <c r="G25" s="32"/>
      <c r="H25" s="32"/>
      <c r="I25" s="24">
        <f t="shared" si="1"/>
        <v>1</v>
      </c>
      <c r="J25" s="27">
        <f t="shared" si="4"/>
        <v>0</v>
      </c>
      <c r="K25" s="16"/>
      <c r="L25" s="28"/>
      <c r="M25" s="29" t="str">
        <f t="shared" si="3"/>
        <v>CRITICO</v>
      </c>
    </row>
    <row r="26" ht="15.75" customHeight="1">
      <c r="B26" s="11" t="s">
        <v>18</v>
      </c>
      <c r="C26" s="13" t="s">
        <v>111</v>
      </c>
      <c r="D26" s="18" t="s">
        <v>112</v>
      </c>
      <c r="E26" s="34">
        <v>1.0</v>
      </c>
      <c r="F26" s="30">
        <v>3.0</v>
      </c>
      <c r="G26" s="32"/>
      <c r="H26" s="50">
        <v>3.0</v>
      </c>
      <c r="I26" s="24">
        <f t="shared" si="1"/>
        <v>0</v>
      </c>
      <c r="J26" s="27">
        <f t="shared" si="4"/>
        <v>0</v>
      </c>
      <c r="K26" s="16"/>
      <c r="L26" s="28">
        <v>177900.0</v>
      </c>
      <c r="M26" s="29" t="str">
        <f t="shared" si="3"/>
        <v>CRITICO</v>
      </c>
    </row>
    <row r="27" ht="15.75" customHeight="1">
      <c r="B27" s="11" t="s">
        <v>18</v>
      </c>
      <c r="C27" s="13" t="s">
        <v>113</v>
      </c>
      <c r="D27" s="18"/>
      <c r="E27" s="34">
        <v>1.0</v>
      </c>
      <c r="F27" s="30">
        <v>1.0</v>
      </c>
      <c r="G27" s="50">
        <v>1.0</v>
      </c>
      <c r="H27" s="32"/>
      <c r="I27" s="24">
        <f t="shared" si="1"/>
        <v>2</v>
      </c>
      <c r="J27" s="27">
        <f t="shared" si="4"/>
        <v>1</v>
      </c>
      <c r="K27" s="16"/>
      <c r="L27" s="28">
        <v>10000.0</v>
      </c>
      <c r="M27" s="29" t="str">
        <f t="shared" si="3"/>
        <v>BIEN</v>
      </c>
    </row>
    <row r="28" ht="15.75" customHeight="1">
      <c r="B28" s="11" t="s">
        <v>18</v>
      </c>
      <c r="C28" s="13" t="s">
        <v>115</v>
      </c>
      <c r="D28" s="18" t="s">
        <v>116</v>
      </c>
      <c r="E28" s="34">
        <v>1.0</v>
      </c>
      <c r="F28" s="30">
        <v>2.0</v>
      </c>
      <c r="G28" s="32"/>
      <c r="H28" s="50">
        <v>2.0</v>
      </c>
      <c r="I28" s="24">
        <f t="shared" si="1"/>
        <v>0</v>
      </c>
      <c r="J28" s="27">
        <f t="shared" si="4"/>
        <v>0</v>
      </c>
      <c r="K28" s="24"/>
      <c r="L28" s="28"/>
      <c r="M28" s="29" t="str">
        <f t="shared" si="3"/>
        <v>CRITICO</v>
      </c>
    </row>
    <row r="29" ht="15.75" customHeight="1">
      <c r="B29" s="58" t="s">
        <v>118</v>
      </c>
      <c r="C29" s="59" t="s">
        <v>119</v>
      </c>
      <c r="D29" s="60" t="s">
        <v>116</v>
      </c>
      <c r="E29" s="61">
        <v>4.0</v>
      </c>
      <c r="F29" s="62">
        <v>12.0</v>
      </c>
      <c r="G29" s="63"/>
      <c r="H29" s="64">
        <v>9.0</v>
      </c>
      <c r="I29" s="65">
        <f t="shared" si="1"/>
        <v>3</v>
      </c>
      <c r="J29" s="66">
        <f t="shared" si="4"/>
        <v>0</v>
      </c>
      <c r="K29" s="65"/>
      <c r="L29" s="67">
        <v>25000.0</v>
      </c>
      <c r="M29" s="29" t="str">
        <f t="shared" si="3"/>
        <v>CRITICO</v>
      </c>
    </row>
    <row r="30" ht="15.75" customHeight="1">
      <c r="B30" s="58" t="s">
        <v>118</v>
      </c>
      <c r="C30" s="59" t="s">
        <v>123</v>
      </c>
      <c r="D30" s="60" t="s">
        <v>116</v>
      </c>
      <c r="E30" s="61">
        <v>10.0</v>
      </c>
      <c r="F30" s="62">
        <v>98.0</v>
      </c>
      <c r="G30" s="63"/>
      <c r="H30" s="64"/>
      <c r="I30" s="65">
        <f t="shared" si="1"/>
        <v>98</v>
      </c>
      <c r="J30" s="66">
        <f t="shared" si="4"/>
        <v>1</v>
      </c>
      <c r="K30" s="65"/>
      <c r="L30" s="67">
        <v>21000.0</v>
      </c>
      <c r="M30" s="29" t="str">
        <f t="shared" si="3"/>
        <v>BIEN</v>
      </c>
    </row>
    <row r="31" ht="15.75" customHeight="1">
      <c r="B31" s="58" t="s">
        <v>118</v>
      </c>
      <c r="C31" s="59" t="s">
        <v>125</v>
      </c>
      <c r="D31" s="60" t="s">
        <v>24</v>
      </c>
      <c r="E31" s="61">
        <v>4.0</v>
      </c>
      <c r="F31" s="62">
        <v>11.0</v>
      </c>
      <c r="G31" s="63"/>
      <c r="H31" s="64">
        <v>2.0</v>
      </c>
      <c r="I31" s="65">
        <f t="shared" si="1"/>
        <v>9</v>
      </c>
      <c r="J31" s="66">
        <f t="shared" si="4"/>
        <v>1</v>
      </c>
      <c r="K31" s="65"/>
      <c r="L31" s="67">
        <v>43000.0</v>
      </c>
      <c r="M31" s="29" t="str">
        <f t="shared" si="3"/>
        <v>BIEN</v>
      </c>
    </row>
    <row r="32" ht="15.75" customHeight="1">
      <c r="B32" s="58" t="s">
        <v>118</v>
      </c>
      <c r="C32" s="59" t="s">
        <v>128</v>
      </c>
      <c r="D32" s="60" t="s">
        <v>116</v>
      </c>
      <c r="E32" s="61">
        <v>10.0</v>
      </c>
      <c r="F32" s="62">
        <v>144.0</v>
      </c>
      <c r="G32" s="63"/>
      <c r="H32" s="64">
        <v>2.0</v>
      </c>
      <c r="I32" s="65">
        <f t="shared" si="1"/>
        <v>142</v>
      </c>
      <c r="J32" s="66">
        <f t="shared" si="4"/>
        <v>1</v>
      </c>
      <c r="K32" s="65"/>
      <c r="L32" s="67">
        <v>25000.0</v>
      </c>
      <c r="M32" s="29" t="str">
        <f t="shared" si="3"/>
        <v>BIEN</v>
      </c>
    </row>
    <row r="33" ht="15.75" customHeight="1">
      <c r="B33" s="58" t="s">
        <v>118</v>
      </c>
      <c r="C33" s="59" t="s">
        <v>130</v>
      </c>
      <c r="D33" s="60" t="s">
        <v>131</v>
      </c>
      <c r="E33" s="61">
        <v>1.0</v>
      </c>
      <c r="F33" s="62">
        <v>1.0</v>
      </c>
      <c r="G33" s="63"/>
      <c r="H33" s="63"/>
      <c r="I33" s="65">
        <f t="shared" si="1"/>
        <v>1</v>
      </c>
      <c r="J33" s="66">
        <f t="shared" si="4"/>
        <v>0</v>
      </c>
      <c r="K33" s="68" t="s">
        <v>133</v>
      </c>
      <c r="L33" s="67">
        <v>25000.0</v>
      </c>
      <c r="M33" s="29" t="str">
        <f t="shared" si="3"/>
        <v>CRITICO</v>
      </c>
    </row>
    <row r="34" ht="15.75" customHeight="1">
      <c r="B34" s="58" t="s">
        <v>118</v>
      </c>
      <c r="C34" s="59" t="s">
        <v>134</v>
      </c>
      <c r="D34" s="60" t="s">
        <v>131</v>
      </c>
      <c r="E34" s="61">
        <v>1.0</v>
      </c>
      <c r="F34" s="62">
        <v>1.0</v>
      </c>
      <c r="G34" s="63"/>
      <c r="H34" s="63"/>
      <c r="I34" s="65">
        <f t="shared" si="1"/>
        <v>1</v>
      </c>
      <c r="J34" s="66">
        <f t="shared" si="4"/>
        <v>0</v>
      </c>
      <c r="K34" s="68" t="s">
        <v>136</v>
      </c>
      <c r="L34" s="67"/>
      <c r="M34" s="29" t="str">
        <f t="shared" si="3"/>
        <v>CRITICO</v>
      </c>
    </row>
    <row r="35" ht="15.75" customHeight="1">
      <c r="B35" s="58" t="s">
        <v>118</v>
      </c>
      <c r="C35" s="59" t="s">
        <v>138</v>
      </c>
      <c r="D35" s="60" t="s">
        <v>139</v>
      </c>
      <c r="E35" s="61">
        <v>1.0</v>
      </c>
      <c r="F35" s="62">
        <v>1.0</v>
      </c>
      <c r="G35" s="63"/>
      <c r="H35" s="63"/>
      <c r="I35" s="65">
        <f t="shared" si="1"/>
        <v>1</v>
      </c>
      <c r="J35" s="66">
        <f t="shared" si="4"/>
        <v>0</v>
      </c>
      <c r="K35" s="68">
        <v>4415122.0</v>
      </c>
      <c r="L35" s="69"/>
      <c r="M35" s="29" t="str">
        <f t="shared" si="3"/>
        <v>CRITICO</v>
      </c>
    </row>
    <row r="36" ht="15.75" customHeight="1">
      <c r="B36" s="58" t="s">
        <v>118</v>
      </c>
      <c r="C36" s="59" t="s">
        <v>141</v>
      </c>
      <c r="D36" s="60" t="s">
        <v>142</v>
      </c>
      <c r="E36" s="61">
        <v>1.0</v>
      </c>
      <c r="F36" s="70" t="s">
        <v>143</v>
      </c>
      <c r="G36" s="63"/>
      <c r="H36" s="63"/>
      <c r="I36" s="71">
        <f t="shared" si="1"/>
        <v>4</v>
      </c>
      <c r="J36" s="66">
        <f t="shared" si="4"/>
        <v>1</v>
      </c>
      <c r="K36" s="68" t="s">
        <v>144</v>
      </c>
      <c r="L36" s="69"/>
      <c r="M36" s="29" t="str">
        <f t="shared" si="3"/>
        <v>BIEN</v>
      </c>
    </row>
    <row r="37" ht="15.75" customHeight="1">
      <c r="B37" s="58" t="s">
        <v>118</v>
      </c>
      <c r="C37" s="59" t="s">
        <v>130</v>
      </c>
      <c r="D37" s="60" t="s">
        <v>142</v>
      </c>
      <c r="E37" s="61">
        <v>1.0</v>
      </c>
      <c r="F37" s="70" t="s">
        <v>145</v>
      </c>
      <c r="G37" s="63"/>
      <c r="H37" s="63"/>
      <c r="I37" s="71">
        <f t="shared" si="1"/>
        <v>9</v>
      </c>
      <c r="J37" s="66">
        <f t="shared" si="4"/>
        <v>1</v>
      </c>
      <c r="K37" s="73" t="s">
        <v>146</v>
      </c>
      <c r="L37" s="69"/>
      <c r="M37" s="29" t="str">
        <f t="shared" si="3"/>
        <v>BIEN</v>
      </c>
    </row>
    <row r="38" ht="15.75" customHeight="1">
      <c r="B38" s="58" t="s">
        <v>118</v>
      </c>
      <c r="C38" s="59" t="s">
        <v>147</v>
      </c>
      <c r="D38" s="60" t="s">
        <v>142</v>
      </c>
      <c r="E38" s="61">
        <v>1.0</v>
      </c>
      <c r="F38" s="70" t="s">
        <v>148</v>
      </c>
      <c r="G38" s="63"/>
      <c r="H38" s="63"/>
      <c r="I38" s="71">
        <f t="shared" si="1"/>
        <v>2</v>
      </c>
      <c r="J38" s="66">
        <f t="shared" si="4"/>
        <v>1</v>
      </c>
      <c r="K38" s="68" t="s">
        <v>149</v>
      </c>
      <c r="L38" s="69"/>
      <c r="M38" s="29" t="str">
        <f t="shared" si="3"/>
        <v>BIEN</v>
      </c>
    </row>
    <row r="39" ht="15.75" customHeight="1">
      <c r="B39" s="58" t="s">
        <v>118</v>
      </c>
      <c r="C39" s="59" t="s">
        <v>150</v>
      </c>
      <c r="D39" s="60" t="s">
        <v>151</v>
      </c>
      <c r="E39" s="61">
        <v>1.0</v>
      </c>
      <c r="F39" s="70" t="s">
        <v>152</v>
      </c>
      <c r="G39" s="63"/>
      <c r="H39" s="63"/>
      <c r="I39" s="74" t="s">
        <v>153</v>
      </c>
      <c r="J39" s="66">
        <f t="shared" si="4"/>
        <v>1</v>
      </c>
      <c r="K39" s="68" t="s">
        <v>154</v>
      </c>
      <c r="L39" s="69"/>
      <c r="M39" s="29" t="str">
        <f t="shared" si="3"/>
        <v>BIEN</v>
      </c>
    </row>
    <row r="40" ht="15.75" customHeight="1">
      <c r="B40" s="58" t="s">
        <v>118</v>
      </c>
      <c r="C40" s="59" t="s">
        <v>155</v>
      </c>
      <c r="D40" s="60" t="s">
        <v>156</v>
      </c>
      <c r="E40" s="61">
        <v>1.0</v>
      </c>
      <c r="F40" s="70" t="s">
        <v>157</v>
      </c>
      <c r="G40" s="63"/>
      <c r="H40" s="63"/>
      <c r="I40" s="71">
        <f>+F40+G40-H40</f>
        <v>1</v>
      </c>
      <c r="J40" s="66">
        <f t="shared" si="4"/>
        <v>0</v>
      </c>
      <c r="K40" s="68" t="s">
        <v>158</v>
      </c>
      <c r="L40" s="69"/>
      <c r="M40" s="29" t="str">
        <f t="shared" si="3"/>
        <v>CRITICO</v>
      </c>
    </row>
    <row r="41" ht="15.75" customHeight="1">
      <c r="B41" s="58" t="s">
        <v>118</v>
      </c>
      <c r="C41" s="59" t="s">
        <v>134</v>
      </c>
      <c r="D41" s="60" t="s">
        <v>159</v>
      </c>
      <c r="E41" s="61">
        <v>1.0</v>
      </c>
      <c r="F41" s="70" t="s">
        <v>157</v>
      </c>
      <c r="G41" s="63"/>
      <c r="H41" s="63"/>
      <c r="I41" s="74" t="s">
        <v>143</v>
      </c>
      <c r="J41" s="66">
        <f t="shared" si="4"/>
        <v>1</v>
      </c>
      <c r="K41" s="68" t="s">
        <v>160</v>
      </c>
      <c r="L41" s="69"/>
      <c r="M41" s="29" t="str">
        <f t="shared" si="3"/>
        <v>BIEN</v>
      </c>
    </row>
    <row r="42" ht="15.75" customHeight="1">
      <c r="B42" s="58" t="s">
        <v>118</v>
      </c>
      <c r="C42" s="59" t="s">
        <v>161</v>
      </c>
      <c r="D42" s="60" t="s">
        <v>139</v>
      </c>
      <c r="E42" s="61">
        <v>1.0</v>
      </c>
      <c r="F42" s="62">
        <v>1.0</v>
      </c>
      <c r="G42" s="63"/>
      <c r="H42" s="63"/>
      <c r="I42" s="65">
        <f t="shared" ref="I42:I43" si="5">+F42+G42-H42</f>
        <v>1</v>
      </c>
      <c r="J42" s="66">
        <f t="shared" si="4"/>
        <v>0</v>
      </c>
      <c r="K42" s="75">
        <v>2654407.0</v>
      </c>
      <c r="L42" s="69"/>
      <c r="M42" s="29" t="str">
        <f t="shared" si="3"/>
        <v>CRITICO</v>
      </c>
    </row>
    <row r="43" ht="15.75" customHeight="1">
      <c r="B43" s="58" t="s">
        <v>118</v>
      </c>
      <c r="C43" s="59" t="s">
        <v>162</v>
      </c>
      <c r="D43" s="76"/>
      <c r="E43" s="77">
        <v>1.0</v>
      </c>
      <c r="F43" s="62">
        <v>4.0</v>
      </c>
      <c r="G43" s="64"/>
      <c r="H43" s="64">
        <v>1.0</v>
      </c>
      <c r="I43" s="65">
        <f t="shared" si="5"/>
        <v>3</v>
      </c>
      <c r="J43" s="66">
        <f t="shared" si="4"/>
        <v>1</v>
      </c>
      <c r="K43" s="68" t="s">
        <v>163</v>
      </c>
      <c r="L43" s="69"/>
      <c r="M43" s="29" t="str">
        <f t="shared" si="3"/>
        <v>BIEN</v>
      </c>
    </row>
    <row r="44" ht="15.75" customHeight="1">
      <c r="B44" s="58" t="s">
        <v>118</v>
      </c>
      <c r="C44" s="59" t="s">
        <v>130</v>
      </c>
      <c r="D44" s="60" t="s">
        <v>159</v>
      </c>
      <c r="E44" s="77"/>
      <c r="F44" s="62"/>
      <c r="G44" s="63"/>
      <c r="H44" s="63"/>
      <c r="I44" s="68">
        <v>1.0</v>
      </c>
      <c r="J44" s="66">
        <f t="shared" si="4"/>
        <v>0</v>
      </c>
      <c r="K44" s="68" t="s">
        <v>164</v>
      </c>
      <c r="L44" s="69"/>
      <c r="M44" s="29" t="str">
        <f t="shared" si="3"/>
        <v>CRITICO</v>
      </c>
    </row>
    <row r="45" ht="15.75" customHeight="1">
      <c r="B45" s="78" t="s">
        <v>165</v>
      </c>
      <c r="C45" s="79" t="s">
        <v>166</v>
      </c>
      <c r="D45" s="80"/>
      <c r="E45" s="81">
        <v>10.0</v>
      </c>
      <c r="F45" s="82">
        <v>80.0</v>
      </c>
      <c r="G45" s="83"/>
      <c r="H45" s="83"/>
      <c r="I45" s="86">
        <f t="shared" ref="I45:I117" si="6">+F45+G45-H45</f>
        <v>80</v>
      </c>
      <c r="J45" s="88">
        <f t="shared" si="4"/>
        <v>1</v>
      </c>
      <c r="K45" s="90" t="s">
        <v>26</v>
      </c>
      <c r="L45" s="91">
        <v>5462.0</v>
      </c>
      <c r="M45" s="29" t="str">
        <f t="shared" si="3"/>
        <v>BIEN</v>
      </c>
    </row>
    <row r="46" ht="15.75" customHeight="1">
      <c r="B46" s="78" t="s">
        <v>165</v>
      </c>
      <c r="C46" s="79" t="s">
        <v>168</v>
      </c>
      <c r="D46" s="80"/>
      <c r="E46" s="81">
        <v>1.0</v>
      </c>
      <c r="F46" s="82">
        <v>2.5</v>
      </c>
      <c r="G46" s="83"/>
      <c r="H46" s="83"/>
      <c r="I46" s="86">
        <f t="shared" si="6"/>
        <v>2.5</v>
      </c>
      <c r="J46" s="88">
        <f t="shared" si="4"/>
        <v>1</v>
      </c>
      <c r="K46" s="90" t="s">
        <v>26</v>
      </c>
      <c r="L46" s="91">
        <v>56050.0</v>
      </c>
      <c r="M46" s="29" t="str">
        <f t="shared" si="3"/>
        <v>BIEN</v>
      </c>
    </row>
    <row r="47" ht="15.75" customHeight="1">
      <c r="B47" s="78" t="s">
        <v>165</v>
      </c>
      <c r="C47" s="79" t="s">
        <v>174</v>
      </c>
      <c r="D47" s="80"/>
      <c r="E47" s="81">
        <v>10.0</v>
      </c>
      <c r="F47" s="82">
        <v>60.0</v>
      </c>
      <c r="G47" s="83"/>
      <c r="H47" s="83"/>
      <c r="I47" s="86">
        <f t="shared" si="6"/>
        <v>60</v>
      </c>
      <c r="J47" s="88">
        <f t="shared" si="4"/>
        <v>1</v>
      </c>
      <c r="K47" s="90" t="s">
        <v>26</v>
      </c>
      <c r="L47" s="91">
        <v>1639.0</v>
      </c>
      <c r="M47" s="29" t="str">
        <f t="shared" si="3"/>
        <v>BIEN</v>
      </c>
    </row>
    <row r="48" ht="15.75" customHeight="1">
      <c r="B48" s="105" t="s">
        <v>175</v>
      </c>
      <c r="C48" s="107" t="s">
        <v>176</v>
      </c>
      <c r="D48" s="108"/>
      <c r="E48" s="110">
        <v>5.0</v>
      </c>
      <c r="F48" s="112">
        <v>7.5</v>
      </c>
      <c r="G48" s="114"/>
      <c r="H48" s="114"/>
      <c r="I48" s="112">
        <f t="shared" si="6"/>
        <v>7.5</v>
      </c>
      <c r="J48" s="116">
        <f t="shared" si="4"/>
        <v>0.5</v>
      </c>
      <c r="K48" s="119" t="s">
        <v>180</v>
      </c>
      <c r="L48" s="120">
        <v>19028.0</v>
      </c>
      <c r="M48" s="29" t="str">
        <f t="shared" si="3"/>
        <v>BIEN</v>
      </c>
    </row>
    <row r="49" ht="15.75" customHeight="1">
      <c r="B49" s="105" t="s">
        <v>175</v>
      </c>
      <c r="C49" s="107" t="s">
        <v>181</v>
      </c>
      <c r="D49" s="108"/>
      <c r="E49" s="110">
        <v>5.0</v>
      </c>
      <c r="F49" s="119">
        <v>10.0</v>
      </c>
      <c r="G49" s="114"/>
      <c r="H49" s="114"/>
      <c r="I49" s="112">
        <f t="shared" si="6"/>
        <v>10</v>
      </c>
      <c r="J49" s="116">
        <f t="shared" si="4"/>
        <v>1</v>
      </c>
      <c r="K49" s="119" t="s">
        <v>180</v>
      </c>
      <c r="L49" s="120">
        <v>19028.0</v>
      </c>
      <c r="M49" s="29" t="str">
        <f t="shared" si="3"/>
        <v>BIEN</v>
      </c>
    </row>
    <row r="50" ht="15.75" customHeight="1">
      <c r="B50" s="105" t="s">
        <v>175</v>
      </c>
      <c r="C50" s="107" t="s">
        <v>185</v>
      </c>
      <c r="D50" s="108"/>
      <c r="E50" s="110">
        <v>5.0</v>
      </c>
      <c r="F50" s="128">
        <v>18.0</v>
      </c>
      <c r="G50" s="114"/>
      <c r="H50" s="114"/>
      <c r="I50" s="130">
        <f t="shared" si="6"/>
        <v>18</v>
      </c>
      <c r="J50" s="116">
        <f t="shared" si="4"/>
        <v>1</v>
      </c>
      <c r="K50" s="112"/>
      <c r="L50" s="120">
        <v>60000.0</v>
      </c>
      <c r="M50" s="29" t="str">
        <f t="shared" si="3"/>
        <v>BIEN</v>
      </c>
    </row>
    <row r="51" ht="15.75" customHeight="1">
      <c r="B51" s="105" t="s">
        <v>175</v>
      </c>
      <c r="C51" s="107" t="s">
        <v>193</v>
      </c>
      <c r="D51" s="108"/>
      <c r="E51" s="110">
        <v>1.0</v>
      </c>
      <c r="F51" s="132">
        <v>3.0</v>
      </c>
      <c r="G51" s="114"/>
      <c r="H51" s="114"/>
      <c r="I51" s="112">
        <f t="shared" si="6"/>
        <v>3</v>
      </c>
      <c r="J51" s="116">
        <f t="shared" si="4"/>
        <v>1</v>
      </c>
      <c r="K51" s="112"/>
      <c r="L51" s="134">
        <v>78000.0</v>
      </c>
      <c r="M51" s="29" t="str">
        <f t="shared" si="3"/>
        <v>BIEN</v>
      </c>
    </row>
    <row r="52" ht="15.75" customHeight="1">
      <c r="B52" s="105" t="s">
        <v>175</v>
      </c>
      <c r="C52" s="107" t="s">
        <v>198</v>
      </c>
      <c r="D52" s="108"/>
      <c r="E52" s="110">
        <v>1.0</v>
      </c>
      <c r="F52" s="132">
        <v>6.0</v>
      </c>
      <c r="G52" s="114"/>
      <c r="H52" s="114"/>
      <c r="I52" s="112">
        <f t="shared" si="6"/>
        <v>6</v>
      </c>
      <c r="J52" s="116">
        <f t="shared" si="4"/>
        <v>1</v>
      </c>
      <c r="K52" s="112"/>
      <c r="L52" s="137"/>
      <c r="M52" s="29" t="str">
        <f t="shared" si="3"/>
        <v>BIEN</v>
      </c>
    </row>
    <row r="53" ht="15.75" customHeight="1">
      <c r="B53" s="105" t="s">
        <v>175</v>
      </c>
      <c r="C53" s="107" t="s">
        <v>200</v>
      </c>
      <c r="D53" s="139"/>
      <c r="E53" s="110">
        <v>2.0</v>
      </c>
      <c r="F53" s="132">
        <v>11.0</v>
      </c>
      <c r="G53" s="114"/>
      <c r="H53" s="114"/>
      <c r="I53" s="112">
        <f t="shared" si="6"/>
        <v>11</v>
      </c>
      <c r="J53" s="116">
        <f t="shared" si="4"/>
        <v>1</v>
      </c>
      <c r="K53" s="119"/>
      <c r="L53" s="134">
        <v>450000.0</v>
      </c>
      <c r="M53" s="29" t="str">
        <f t="shared" si="3"/>
        <v>BIEN</v>
      </c>
    </row>
    <row r="54" ht="15.75" customHeight="1">
      <c r="B54" s="105" t="s">
        <v>175</v>
      </c>
      <c r="C54" s="107" t="s">
        <v>206</v>
      </c>
      <c r="D54" s="108"/>
      <c r="E54" s="143">
        <f>+F54*60%</f>
        <v>1.2</v>
      </c>
      <c r="F54" s="144">
        <v>2.0</v>
      </c>
      <c r="G54" s="114"/>
      <c r="H54" s="114"/>
      <c r="I54" s="112">
        <f t="shared" si="6"/>
        <v>2</v>
      </c>
      <c r="J54" s="116">
        <f t="shared" si="4"/>
        <v>0.6666666667</v>
      </c>
      <c r="K54" s="112"/>
      <c r="L54" s="137"/>
      <c r="M54" s="29" t="str">
        <f t="shared" si="3"/>
        <v>BIEN</v>
      </c>
    </row>
    <row r="55" ht="15.75" customHeight="1">
      <c r="B55" s="105" t="s">
        <v>175</v>
      </c>
      <c r="C55" s="107" t="s">
        <v>210</v>
      </c>
      <c r="D55" s="108"/>
      <c r="E55" s="110">
        <v>2.0</v>
      </c>
      <c r="F55" s="132">
        <v>10.0</v>
      </c>
      <c r="G55" s="114"/>
      <c r="H55" s="114"/>
      <c r="I55" s="112">
        <f t="shared" si="6"/>
        <v>10</v>
      </c>
      <c r="J55" s="116">
        <f t="shared" si="4"/>
        <v>1</v>
      </c>
      <c r="K55" s="112"/>
      <c r="L55" s="134"/>
      <c r="M55" s="29" t="str">
        <f t="shared" si="3"/>
        <v>BIEN</v>
      </c>
    </row>
    <row r="56" ht="15.75" customHeight="1">
      <c r="B56" s="105" t="s">
        <v>175</v>
      </c>
      <c r="C56" s="107" t="s">
        <v>216</v>
      </c>
      <c r="D56" s="108"/>
      <c r="E56" s="110">
        <v>2.0</v>
      </c>
      <c r="F56" s="132">
        <v>18.0</v>
      </c>
      <c r="G56" s="114"/>
      <c r="H56" s="114"/>
      <c r="I56" s="112">
        <f t="shared" si="6"/>
        <v>18</v>
      </c>
      <c r="J56" s="116">
        <f t="shared" si="4"/>
        <v>1</v>
      </c>
      <c r="K56" s="112"/>
      <c r="L56" s="134">
        <v>150000.0</v>
      </c>
      <c r="M56" s="29" t="str">
        <f t="shared" si="3"/>
        <v>BIEN</v>
      </c>
    </row>
    <row r="57" ht="15.75" customHeight="1">
      <c r="B57" s="105" t="s">
        <v>175</v>
      </c>
      <c r="C57" s="107" t="s">
        <v>220</v>
      </c>
      <c r="D57" s="108"/>
      <c r="E57" s="110">
        <v>1.0</v>
      </c>
      <c r="F57" s="132">
        <v>0.0</v>
      </c>
      <c r="G57" s="114"/>
      <c r="H57" s="153">
        <v>1.0</v>
      </c>
      <c r="I57" s="112">
        <f t="shared" si="6"/>
        <v>-1</v>
      </c>
      <c r="J57" s="116">
        <f t="shared" si="4"/>
        <v>0</v>
      </c>
      <c r="K57" s="112"/>
      <c r="L57" s="134">
        <v>360000.0</v>
      </c>
      <c r="M57" s="29" t="str">
        <f t="shared" si="3"/>
        <v>CRITICO</v>
      </c>
    </row>
    <row r="58" ht="15.75" customHeight="1">
      <c r="B58" s="105" t="s">
        <v>175</v>
      </c>
      <c r="C58" s="107" t="s">
        <v>224</v>
      </c>
      <c r="D58" s="108"/>
      <c r="E58" s="110">
        <v>5.0</v>
      </c>
      <c r="F58" s="128">
        <v>16.0</v>
      </c>
      <c r="G58" s="114"/>
      <c r="H58" s="114"/>
      <c r="I58" s="130">
        <f t="shared" si="6"/>
        <v>16</v>
      </c>
      <c r="J58" s="116">
        <f t="shared" si="4"/>
        <v>1</v>
      </c>
      <c r="K58" s="112"/>
      <c r="L58" s="120">
        <v>23000.0</v>
      </c>
      <c r="M58" s="29" t="str">
        <f t="shared" si="3"/>
        <v>BIEN</v>
      </c>
    </row>
    <row r="59" ht="15.75" customHeight="1">
      <c r="B59" s="105" t="s">
        <v>175</v>
      </c>
      <c r="C59" s="156" t="s">
        <v>228</v>
      </c>
      <c r="D59" s="108"/>
      <c r="E59" s="110">
        <v>1.0</v>
      </c>
      <c r="F59" s="132">
        <v>2.0</v>
      </c>
      <c r="G59" s="114"/>
      <c r="H59" s="114"/>
      <c r="I59" s="112">
        <f t="shared" si="6"/>
        <v>2</v>
      </c>
      <c r="J59" s="116">
        <f t="shared" si="4"/>
        <v>1</v>
      </c>
      <c r="K59" s="112"/>
      <c r="L59" s="120">
        <v>180000.0</v>
      </c>
      <c r="M59" s="29" t="str">
        <f t="shared" si="3"/>
        <v>BIEN</v>
      </c>
    </row>
    <row r="60" ht="15.75" customHeight="1">
      <c r="B60" s="105" t="s">
        <v>175</v>
      </c>
      <c r="C60" s="114" t="s">
        <v>232</v>
      </c>
      <c r="D60" s="108"/>
      <c r="E60" s="110">
        <v>1.0</v>
      </c>
      <c r="F60" s="132">
        <v>2.0</v>
      </c>
      <c r="G60" s="114"/>
      <c r="H60" s="114"/>
      <c r="I60" s="112">
        <f t="shared" si="6"/>
        <v>2</v>
      </c>
      <c r="J60" s="116">
        <f t="shared" si="4"/>
        <v>1</v>
      </c>
      <c r="K60" s="112"/>
      <c r="L60" s="120">
        <v>160000.0</v>
      </c>
      <c r="M60" s="29" t="str">
        <f t="shared" si="3"/>
        <v>BIEN</v>
      </c>
    </row>
    <row r="61" ht="15.75" customHeight="1">
      <c r="B61" s="105" t="s">
        <v>175</v>
      </c>
      <c r="C61" s="107" t="s">
        <v>238</v>
      </c>
      <c r="D61" s="108"/>
      <c r="E61" s="110">
        <v>1.0</v>
      </c>
      <c r="F61" s="132">
        <v>1.0</v>
      </c>
      <c r="G61" s="114"/>
      <c r="H61" s="114"/>
      <c r="I61" s="112">
        <f t="shared" si="6"/>
        <v>1</v>
      </c>
      <c r="J61" s="116">
        <f t="shared" si="4"/>
        <v>0</v>
      </c>
      <c r="K61" s="112"/>
      <c r="L61" s="137"/>
      <c r="M61" s="29" t="str">
        <f t="shared" si="3"/>
        <v>CRITICO</v>
      </c>
    </row>
    <row r="62" ht="15.75" customHeight="1">
      <c r="B62" s="105" t="s">
        <v>175</v>
      </c>
      <c r="C62" s="107" t="s">
        <v>246</v>
      </c>
      <c r="D62" s="108"/>
      <c r="E62" s="110">
        <v>1.0</v>
      </c>
      <c r="F62" s="162">
        <v>4.0</v>
      </c>
      <c r="G62" s="114"/>
      <c r="H62" s="153"/>
      <c r="I62" s="164">
        <f t="shared" si="6"/>
        <v>4</v>
      </c>
      <c r="J62" s="116">
        <f t="shared" si="4"/>
        <v>1</v>
      </c>
      <c r="K62" s="112"/>
      <c r="L62" s="137"/>
      <c r="M62" s="29" t="str">
        <f t="shared" si="3"/>
        <v>BIEN</v>
      </c>
    </row>
    <row r="63" ht="15.75" customHeight="1">
      <c r="B63" s="105" t="s">
        <v>175</v>
      </c>
      <c r="C63" s="107" t="s">
        <v>250</v>
      </c>
      <c r="D63" s="108"/>
      <c r="E63" s="110">
        <v>1.0</v>
      </c>
      <c r="F63" s="162">
        <v>4.0</v>
      </c>
      <c r="G63" s="114"/>
      <c r="H63" s="165">
        <v>1.0</v>
      </c>
      <c r="I63" s="164">
        <f t="shared" si="6"/>
        <v>3</v>
      </c>
      <c r="J63" s="116">
        <f t="shared" si="4"/>
        <v>1</v>
      </c>
      <c r="K63" s="112"/>
      <c r="L63" s="137"/>
      <c r="M63" s="29" t="str">
        <f t="shared" si="3"/>
        <v>BIEN</v>
      </c>
    </row>
    <row r="64" ht="15.75" customHeight="1">
      <c r="B64" s="105" t="s">
        <v>175</v>
      </c>
      <c r="C64" s="107" t="s">
        <v>257</v>
      </c>
      <c r="D64" s="108"/>
      <c r="E64" s="110">
        <v>1.0</v>
      </c>
      <c r="F64" s="162">
        <v>6.0</v>
      </c>
      <c r="G64" s="114"/>
      <c r="H64" s="153">
        <v>0.0</v>
      </c>
      <c r="I64" s="164">
        <f t="shared" si="6"/>
        <v>6</v>
      </c>
      <c r="J64" s="116">
        <f t="shared" si="4"/>
        <v>1</v>
      </c>
      <c r="K64" s="112"/>
      <c r="L64" s="137"/>
      <c r="M64" s="29" t="str">
        <f t="shared" si="3"/>
        <v>BIEN</v>
      </c>
    </row>
    <row r="65" ht="15.75" customHeight="1">
      <c r="B65" s="105" t="s">
        <v>175</v>
      </c>
      <c r="C65" s="107" t="s">
        <v>262</v>
      </c>
      <c r="D65" s="108"/>
      <c r="E65" s="110">
        <v>1.0</v>
      </c>
      <c r="F65" s="162">
        <v>2.0</v>
      </c>
      <c r="G65" s="114"/>
      <c r="H65" s="114"/>
      <c r="I65" s="164">
        <f t="shared" si="6"/>
        <v>2</v>
      </c>
      <c r="J65" s="116">
        <f t="shared" si="4"/>
        <v>1</v>
      </c>
      <c r="K65" s="112"/>
      <c r="L65" s="137"/>
      <c r="M65" s="29" t="str">
        <f t="shared" si="3"/>
        <v>BIEN</v>
      </c>
    </row>
    <row r="66" ht="15.75" customHeight="1">
      <c r="B66" s="105" t="s">
        <v>175</v>
      </c>
      <c r="C66" s="107" t="s">
        <v>267</v>
      </c>
      <c r="D66" s="108"/>
      <c r="E66" s="110">
        <v>3.0</v>
      </c>
      <c r="F66" s="132">
        <v>9.0</v>
      </c>
      <c r="G66" s="114"/>
      <c r="H66" s="153">
        <v>1.0</v>
      </c>
      <c r="I66" s="112">
        <f t="shared" si="6"/>
        <v>8</v>
      </c>
      <c r="J66" s="116">
        <f t="shared" si="4"/>
        <v>1</v>
      </c>
      <c r="K66" s="112"/>
      <c r="L66" s="120">
        <v>90000.0</v>
      </c>
      <c r="M66" s="29" t="str">
        <f t="shared" si="3"/>
        <v>BIEN</v>
      </c>
    </row>
    <row r="67" ht="15.75" customHeight="1">
      <c r="B67" s="105" t="s">
        <v>175</v>
      </c>
      <c r="C67" s="107" t="s">
        <v>271</v>
      </c>
      <c r="D67" s="108"/>
      <c r="E67" s="110">
        <v>1.0</v>
      </c>
      <c r="F67" s="132">
        <v>4.0</v>
      </c>
      <c r="G67" s="114"/>
      <c r="H67" s="114"/>
      <c r="I67" s="112">
        <f t="shared" si="6"/>
        <v>4</v>
      </c>
      <c r="J67" s="116">
        <f t="shared" si="4"/>
        <v>1</v>
      </c>
      <c r="K67" s="112"/>
      <c r="L67" s="120"/>
      <c r="M67" s="29" t="str">
        <f t="shared" si="3"/>
        <v>BIEN</v>
      </c>
    </row>
    <row r="68" ht="15.75" customHeight="1">
      <c r="B68" s="105" t="s">
        <v>175</v>
      </c>
      <c r="C68" s="107" t="s">
        <v>275</v>
      </c>
      <c r="D68" s="108"/>
      <c r="E68" s="110">
        <v>5.0</v>
      </c>
      <c r="F68" s="132">
        <v>49.0</v>
      </c>
      <c r="G68" s="114"/>
      <c r="H68" s="153">
        <v>2.0</v>
      </c>
      <c r="I68" s="112">
        <f t="shared" si="6"/>
        <v>47</v>
      </c>
      <c r="J68" s="116">
        <f t="shared" si="4"/>
        <v>1</v>
      </c>
      <c r="K68" s="112"/>
      <c r="L68" s="137"/>
      <c r="M68" s="29" t="str">
        <f t="shared" si="3"/>
        <v>BIEN</v>
      </c>
    </row>
    <row r="69" ht="15.75" customHeight="1">
      <c r="B69" s="105" t="s">
        <v>175</v>
      </c>
      <c r="C69" s="107" t="s">
        <v>278</v>
      </c>
      <c r="D69" s="108"/>
      <c r="E69" s="110">
        <v>1.0</v>
      </c>
      <c r="F69" s="132">
        <v>4.0</v>
      </c>
      <c r="G69" s="114"/>
      <c r="H69" s="114"/>
      <c r="I69" s="112">
        <f t="shared" si="6"/>
        <v>4</v>
      </c>
      <c r="J69" s="116">
        <f t="shared" si="4"/>
        <v>1</v>
      </c>
      <c r="K69" s="108"/>
      <c r="L69" s="137"/>
      <c r="M69" s="29" t="str">
        <f t="shared" si="3"/>
        <v>BIEN</v>
      </c>
    </row>
    <row r="70" ht="15.75" customHeight="1">
      <c r="B70" s="105" t="s">
        <v>175</v>
      </c>
      <c r="C70" s="107" t="s">
        <v>283</v>
      </c>
      <c r="D70" s="108"/>
      <c r="E70" s="110">
        <v>5.0</v>
      </c>
      <c r="F70" s="132">
        <v>20.0</v>
      </c>
      <c r="G70" s="114"/>
      <c r="H70" s="114"/>
      <c r="I70" s="112">
        <f t="shared" si="6"/>
        <v>20</v>
      </c>
      <c r="J70" s="116">
        <f t="shared" si="4"/>
        <v>1</v>
      </c>
      <c r="K70" s="108"/>
      <c r="L70" s="134">
        <v>450000.0</v>
      </c>
      <c r="M70" s="29" t="str">
        <f t="shared" si="3"/>
        <v>BIEN</v>
      </c>
    </row>
    <row r="71" ht="15.75" customHeight="1">
      <c r="B71" s="105" t="s">
        <v>175</v>
      </c>
      <c r="C71" s="107" t="s">
        <v>286</v>
      </c>
      <c r="D71" s="108"/>
      <c r="E71" s="110">
        <v>1.0</v>
      </c>
      <c r="F71" s="128">
        <v>20.0</v>
      </c>
      <c r="G71" s="114"/>
      <c r="H71" s="114"/>
      <c r="I71" s="130">
        <f t="shared" si="6"/>
        <v>20</v>
      </c>
      <c r="J71" s="116">
        <f t="shared" si="4"/>
        <v>1</v>
      </c>
      <c r="K71" s="108"/>
      <c r="L71" s="134">
        <v>10000.0</v>
      </c>
      <c r="M71" s="29" t="str">
        <f t="shared" si="3"/>
        <v>BIEN</v>
      </c>
    </row>
    <row r="72" ht="15.75" customHeight="1">
      <c r="B72" s="105" t="s">
        <v>175</v>
      </c>
      <c r="C72" s="107" t="s">
        <v>289</v>
      </c>
      <c r="D72" s="108"/>
      <c r="E72" s="110">
        <v>2.0</v>
      </c>
      <c r="F72" s="132">
        <v>5.0</v>
      </c>
      <c r="G72" s="144"/>
      <c r="H72" s="132">
        <v>1.0</v>
      </c>
      <c r="I72" s="112">
        <f t="shared" si="6"/>
        <v>4</v>
      </c>
      <c r="J72" s="116">
        <f t="shared" si="4"/>
        <v>1</v>
      </c>
      <c r="K72" s="108"/>
      <c r="L72" s="137"/>
      <c r="M72" s="29" t="str">
        <f t="shared" si="3"/>
        <v>BIEN</v>
      </c>
    </row>
    <row r="73" ht="15.75" customHeight="1">
      <c r="B73" s="105" t="s">
        <v>175</v>
      </c>
      <c r="C73" s="107" t="s">
        <v>293</v>
      </c>
      <c r="D73" s="108"/>
      <c r="E73" s="110">
        <v>1.0</v>
      </c>
      <c r="F73" s="132">
        <v>2.0</v>
      </c>
      <c r="G73" s="114"/>
      <c r="H73" s="114"/>
      <c r="I73" s="112">
        <f t="shared" si="6"/>
        <v>2</v>
      </c>
      <c r="J73" s="116">
        <f t="shared" si="4"/>
        <v>1</v>
      </c>
      <c r="K73" s="108"/>
      <c r="L73" s="137"/>
      <c r="M73" s="29" t="str">
        <f t="shared" si="3"/>
        <v>BIEN</v>
      </c>
    </row>
    <row r="74" ht="15.75" customHeight="1">
      <c r="B74" s="105" t="s">
        <v>175</v>
      </c>
      <c r="C74" s="107" t="s">
        <v>295</v>
      </c>
      <c r="D74" s="108"/>
      <c r="E74" s="110">
        <v>5.0</v>
      </c>
      <c r="F74" s="132">
        <v>19.0</v>
      </c>
      <c r="G74" s="114"/>
      <c r="H74" s="153"/>
      <c r="I74" s="112">
        <f t="shared" si="6"/>
        <v>19</v>
      </c>
      <c r="J74" s="116">
        <f t="shared" si="4"/>
        <v>1</v>
      </c>
      <c r="K74" s="108"/>
      <c r="L74" s="137"/>
      <c r="M74" s="29" t="str">
        <f t="shared" si="3"/>
        <v>BIEN</v>
      </c>
    </row>
    <row r="75" ht="15.75" customHeight="1">
      <c r="B75" s="169" t="s">
        <v>299</v>
      </c>
      <c r="C75" s="170" t="s">
        <v>300</v>
      </c>
      <c r="D75" s="171" t="s">
        <v>24</v>
      </c>
      <c r="E75" s="172">
        <v>40.0</v>
      </c>
      <c r="F75" s="173">
        <v>169.0</v>
      </c>
      <c r="G75" s="173">
        <v>200.0</v>
      </c>
      <c r="H75" s="173">
        <v>192.0</v>
      </c>
      <c r="I75" s="174">
        <f t="shared" si="6"/>
        <v>177</v>
      </c>
      <c r="J75" s="176">
        <f t="shared" si="4"/>
        <v>1</v>
      </c>
      <c r="K75" s="171" t="s">
        <v>305</v>
      </c>
      <c r="L75" s="178">
        <v>5000.0</v>
      </c>
      <c r="M75" s="29" t="str">
        <f t="shared" si="3"/>
        <v>BIEN</v>
      </c>
    </row>
    <row r="76" ht="15.75" customHeight="1">
      <c r="B76" s="169" t="s">
        <v>299</v>
      </c>
      <c r="C76" s="170" t="s">
        <v>306</v>
      </c>
      <c r="D76" s="171" t="s">
        <v>24</v>
      </c>
      <c r="E76" s="172">
        <v>20.0</v>
      </c>
      <c r="F76" s="173">
        <v>38.0</v>
      </c>
      <c r="G76" s="179">
        <v>100.0</v>
      </c>
      <c r="H76" s="179">
        <v>138.0</v>
      </c>
      <c r="I76" s="174">
        <f t="shared" si="6"/>
        <v>0</v>
      </c>
      <c r="J76" s="176">
        <f t="shared" si="4"/>
        <v>0</v>
      </c>
      <c r="K76" s="171" t="s">
        <v>305</v>
      </c>
      <c r="L76" s="178">
        <v>8900.0</v>
      </c>
      <c r="M76" s="29" t="str">
        <f t="shared" si="3"/>
        <v>CRITICO</v>
      </c>
    </row>
    <row r="77" ht="15.75" customHeight="1">
      <c r="B77" s="169" t="s">
        <v>299</v>
      </c>
      <c r="C77" s="170" t="s">
        <v>260</v>
      </c>
      <c r="D77" s="171" t="s">
        <v>24</v>
      </c>
      <c r="E77" s="172">
        <v>10.0</v>
      </c>
      <c r="F77" s="173">
        <v>34.0</v>
      </c>
      <c r="G77" s="179">
        <v>20.0</v>
      </c>
      <c r="H77" s="179">
        <v>32.0</v>
      </c>
      <c r="I77" s="174">
        <f t="shared" si="6"/>
        <v>22</v>
      </c>
      <c r="J77" s="176">
        <f t="shared" si="4"/>
        <v>1</v>
      </c>
      <c r="K77" s="171" t="s">
        <v>305</v>
      </c>
      <c r="L77" s="178">
        <v>6000.0</v>
      </c>
      <c r="M77" s="29" t="str">
        <f t="shared" si="3"/>
        <v>BIEN</v>
      </c>
    </row>
    <row r="78" ht="15.75" customHeight="1">
      <c r="B78" s="169" t="s">
        <v>299</v>
      </c>
      <c r="C78" s="170" t="s">
        <v>309</v>
      </c>
      <c r="D78" s="171" t="s">
        <v>24</v>
      </c>
      <c r="E78" s="172">
        <v>20.0</v>
      </c>
      <c r="F78" s="173">
        <v>78.0</v>
      </c>
      <c r="G78" s="179">
        <v>105.0</v>
      </c>
      <c r="H78" s="179">
        <v>163.0</v>
      </c>
      <c r="I78" s="174">
        <f t="shared" si="6"/>
        <v>20</v>
      </c>
      <c r="J78" s="176">
        <f t="shared" si="4"/>
        <v>0</v>
      </c>
      <c r="K78" s="171" t="s">
        <v>305</v>
      </c>
      <c r="L78" s="178">
        <v>7800.0</v>
      </c>
      <c r="M78" s="29" t="str">
        <f t="shared" si="3"/>
        <v>CRITICO</v>
      </c>
    </row>
    <row r="79" ht="15.75" customHeight="1">
      <c r="B79" s="169" t="s">
        <v>299</v>
      </c>
      <c r="C79" s="96" t="s">
        <v>208</v>
      </c>
      <c r="D79" s="56" t="s">
        <v>24</v>
      </c>
      <c r="E79" s="15">
        <v>5.0</v>
      </c>
      <c r="F79" s="146">
        <v>20.0</v>
      </c>
      <c r="G79" s="43"/>
      <c r="H79" s="159"/>
      <c r="I79" s="180">
        <f t="shared" si="6"/>
        <v>20</v>
      </c>
      <c r="J79" s="181">
        <f t="shared" si="4"/>
        <v>1</v>
      </c>
      <c r="K79" s="56"/>
      <c r="L79" s="106">
        <v>3539.0</v>
      </c>
      <c r="M79" s="29" t="str">
        <f t="shared" si="3"/>
        <v>BIEN</v>
      </c>
    </row>
    <row r="80" ht="15.75" customHeight="1">
      <c r="B80" s="169" t="s">
        <v>299</v>
      </c>
      <c r="C80" s="96" t="s">
        <v>212</v>
      </c>
      <c r="D80" s="56" t="s">
        <v>24</v>
      </c>
      <c r="E80" s="15">
        <v>5.0</v>
      </c>
      <c r="F80" s="146">
        <v>10.0</v>
      </c>
      <c r="G80" s="43"/>
      <c r="H80" s="43"/>
      <c r="I80" s="180">
        <f t="shared" si="6"/>
        <v>10</v>
      </c>
      <c r="J80" s="181">
        <f t="shared" si="4"/>
        <v>1</v>
      </c>
      <c r="K80" s="38"/>
      <c r="L80" s="136">
        <v>24480.0</v>
      </c>
      <c r="M80" s="29" t="str">
        <f t="shared" si="3"/>
        <v>BIEN</v>
      </c>
    </row>
    <row r="81" ht="15.75" customHeight="1">
      <c r="B81" s="169" t="s">
        <v>299</v>
      </c>
      <c r="C81" s="96" t="s">
        <v>217</v>
      </c>
      <c r="D81" s="56" t="s">
        <v>24</v>
      </c>
      <c r="E81" s="15">
        <v>5.0</v>
      </c>
      <c r="F81" s="146">
        <v>20.0</v>
      </c>
      <c r="G81" s="43"/>
      <c r="H81" s="43"/>
      <c r="I81" s="180">
        <f t="shared" si="6"/>
        <v>20</v>
      </c>
      <c r="J81" s="181">
        <f t="shared" si="4"/>
        <v>1</v>
      </c>
      <c r="K81" s="38"/>
      <c r="L81" s="106">
        <v>6147.0</v>
      </c>
      <c r="M81" s="29" t="str">
        <f t="shared" si="3"/>
        <v>BIEN</v>
      </c>
    </row>
    <row r="82" ht="15.75" customHeight="1">
      <c r="B82" s="169" t="s">
        <v>299</v>
      </c>
      <c r="C82" s="152" t="s">
        <v>219</v>
      </c>
      <c r="D82" s="56" t="s">
        <v>24</v>
      </c>
      <c r="E82" s="15">
        <v>1.0</v>
      </c>
      <c r="F82" s="117">
        <v>5.0</v>
      </c>
      <c r="G82" s="43"/>
      <c r="H82" s="43"/>
      <c r="I82" s="180">
        <f t="shared" si="6"/>
        <v>5</v>
      </c>
      <c r="J82" s="181">
        <f t="shared" si="4"/>
        <v>1</v>
      </c>
      <c r="K82" s="38"/>
      <c r="L82" s="106">
        <v>17614.0</v>
      </c>
      <c r="M82" s="29" t="str">
        <f t="shared" si="3"/>
        <v>BIEN</v>
      </c>
    </row>
    <row r="83" ht="15.75" customHeight="1">
      <c r="B83" s="169" t="s">
        <v>299</v>
      </c>
      <c r="C83" s="96" t="s">
        <v>223</v>
      </c>
      <c r="D83" s="56" t="s">
        <v>24</v>
      </c>
      <c r="E83" s="15">
        <v>5.0</v>
      </c>
      <c r="F83" s="117">
        <v>10.0</v>
      </c>
      <c r="G83" s="43"/>
      <c r="H83" s="43"/>
      <c r="I83" s="180">
        <f t="shared" si="6"/>
        <v>10</v>
      </c>
      <c r="J83" s="181">
        <f t="shared" si="4"/>
        <v>1</v>
      </c>
      <c r="K83" s="38"/>
      <c r="L83" s="106">
        <v>18286.0</v>
      </c>
      <c r="M83" s="29" t="str">
        <f t="shared" si="3"/>
        <v>BIEN</v>
      </c>
    </row>
    <row r="84" ht="15.75" customHeight="1">
      <c r="B84" s="169" t="s">
        <v>299</v>
      </c>
      <c r="C84" s="96" t="s">
        <v>226</v>
      </c>
      <c r="D84" s="56" t="s">
        <v>24</v>
      </c>
      <c r="E84" s="15">
        <v>2.0</v>
      </c>
      <c r="F84" s="117">
        <v>5.0</v>
      </c>
      <c r="G84" s="43"/>
      <c r="H84" s="43"/>
      <c r="I84" s="180">
        <f t="shared" si="6"/>
        <v>5</v>
      </c>
      <c r="J84" s="181">
        <f t="shared" si="4"/>
        <v>1</v>
      </c>
      <c r="K84" s="38"/>
      <c r="L84" s="106">
        <v>47464.0</v>
      </c>
      <c r="M84" s="29" t="str">
        <f t="shared" si="3"/>
        <v>BIEN</v>
      </c>
    </row>
    <row r="85" ht="15.75" customHeight="1">
      <c r="B85" s="169" t="s">
        <v>299</v>
      </c>
      <c r="C85" s="96" t="s">
        <v>230</v>
      </c>
      <c r="D85" s="56" t="s">
        <v>24</v>
      </c>
      <c r="E85" s="15">
        <v>2.0</v>
      </c>
      <c r="F85" s="117">
        <v>3.0</v>
      </c>
      <c r="G85" s="43"/>
      <c r="H85" s="43"/>
      <c r="I85" s="180">
        <f t="shared" si="6"/>
        <v>3</v>
      </c>
      <c r="J85" s="181">
        <f t="shared" si="4"/>
        <v>0.5</v>
      </c>
      <c r="K85" s="38"/>
      <c r="L85" s="106">
        <v>80586.0</v>
      </c>
      <c r="M85" s="29" t="str">
        <f t="shared" si="3"/>
        <v>BIEN</v>
      </c>
    </row>
    <row r="86" ht="15.75" customHeight="1">
      <c r="B86" s="169" t="s">
        <v>299</v>
      </c>
      <c r="C86" s="96" t="s">
        <v>318</v>
      </c>
      <c r="D86" s="56" t="s">
        <v>24</v>
      </c>
      <c r="E86" s="182">
        <v>20.0</v>
      </c>
      <c r="F86" s="117">
        <v>100.0</v>
      </c>
      <c r="G86" s="43"/>
      <c r="H86" s="43"/>
      <c r="I86" s="180">
        <f t="shared" si="6"/>
        <v>100</v>
      </c>
      <c r="J86" s="181">
        <f t="shared" si="4"/>
        <v>1</v>
      </c>
      <c r="K86" s="38"/>
      <c r="L86" s="160">
        <v>6247.0</v>
      </c>
      <c r="M86" s="29" t="str">
        <f t="shared" si="3"/>
        <v>BIEN</v>
      </c>
    </row>
    <row r="87" ht="15.75" customHeight="1">
      <c r="B87" s="169" t="s">
        <v>299</v>
      </c>
      <c r="C87" s="96" t="s">
        <v>320</v>
      </c>
      <c r="D87" s="56" t="s">
        <v>24</v>
      </c>
      <c r="E87" s="182">
        <v>20.0</v>
      </c>
      <c r="F87" s="117">
        <v>100.0</v>
      </c>
      <c r="G87" s="43"/>
      <c r="H87" s="43"/>
      <c r="I87" s="180">
        <f t="shared" si="6"/>
        <v>100</v>
      </c>
      <c r="J87" s="181">
        <f t="shared" si="4"/>
        <v>1</v>
      </c>
      <c r="K87" s="38"/>
      <c r="L87" s="185">
        <v>20000.0</v>
      </c>
      <c r="M87" s="29" t="str">
        <f t="shared" si="3"/>
        <v>BIEN</v>
      </c>
    </row>
    <row r="88" ht="15.75" customHeight="1">
      <c r="B88" s="186" t="s">
        <v>299</v>
      </c>
      <c r="C88" s="187" t="s">
        <v>318</v>
      </c>
      <c r="D88" s="188" t="s">
        <v>24</v>
      </c>
      <c r="E88" s="189">
        <v>20.0</v>
      </c>
      <c r="F88" s="190">
        <v>100.0</v>
      </c>
      <c r="G88" s="43"/>
      <c r="H88" s="43"/>
      <c r="I88" s="191">
        <f t="shared" si="6"/>
        <v>100</v>
      </c>
      <c r="J88" s="192">
        <f>+IF(E88=0,0,MIN(MAX((I88-E88)/E88,0),1))</f>
        <v>1</v>
      </c>
      <c r="K88" s="43"/>
      <c r="L88" s="193">
        <v>430.0</v>
      </c>
      <c r="M88" s="29" t="str">
        <f t="shared" si="3"/>
        <v>BIEN</v>
      </c>
    </row>
    <row r="89" ht="15.75" customHeight="1">
      <c r="B89" s="194" t="s">
        <v>323</v>
      </c>
      <c r="C89" s="195" t="s">
        <v>324</v>
      </c>
      <c r="D89" s="196" t="s">
        <v>325</v>
      </c>
      <c r="E89" s="197">
        <v>1.0</v>
      </c>
      <c r="F89" s="198">
        <v>0.5</v>
      </c>
      <c r="G89" s="199"/>
      <c r="H89" s="199"/>
      <c r="I89" s="200">
        <f t="shared" si="6"/>
        <v>0.5</v>
      </c>
      <c r="J89" s="201">
        <f t="shared" ref="J89:J117" si="7">+IF(E89=0,0,MIN(MAX((I89-E89)/E89,0),1))</f>
        <v>0</v>
      </c>
      <c r="K89" s="202"/>
      <c r="L89" s="203">
        <v>663865.0</v>
      </c>
      <c r="M89" s="29" t="str">
        <f t="shared" si="3"/>
        <v>CRITICO</v>
      </c>
    </row>
    <row r="90" ht="15.75" customHeight="1">
      <c r="B90" s="204" t="s">
        <v>327</v>
      </c>
      <c r="C90" s="195" t="s">
        <v>328</v>
      </c>
      <c r="D90" s="196" t="s">
        <v>325</v>
      </c>
      <c r="E90" s="197">
        <v>1.0</v>
      </c>
      <c r="F90" s="198">
        <v>1.0</v>
      </c>
      <c r="G90" s="199"/>
      <c r="H90" s="199"/>
      <c r="I90" s="200">
        <f t="shared" si="6"/>
        <v>1</v>
      </c>
      <c r="J90" s="201">
        <f t="shared" si="7"/>
        <v>0</v>
      </c>
      <c r="K90" s="202"/>
      <c r="L90" s="203">
        <v>100000.0</v>
      </c>
      <c r="M90" s="29" t="str">
        <f t="shared" si="3"/>
        <v>CRITICO</v>
      </c>
    </row>
    <row r="91" ht="15.75" customHeight="1">
      <c r="B91" s="204" t="s">
        <v>327</v>
      </c>
      <c r="C91" s="205" t="s">
        <v>330</v>
      </c>
      <c r="D91" s="206" t="s">
        <v>331</v>
      </c>
      <c r="E91" s="207">
        <v>1.0</v>
      </c>
      <c r="F91" s="208">
        <v>3.0</v>
      </c>
      <c r="G91" s="209"/>
      <c r="H91" s="206">
        <v>1.0</v>
      </c>
      <c r="I91" s="210">
        <f t="shared" si="6"/>
        <v>2</v>
      </c>
      <c r="J91" s="211">
        <f t="shared" si="7"/>
        <v>1</v>
      </c>
      <c r="K91" s="212"/>
      <c r="L91" s="213">
        <v>80000.0</v>
      </c>
      <c r="M91" s="29" t="str">
        <f t="shared" si="3"/>
        <v>BIEN</v>
      </c>
    </row>
    <row r="92" ht="15.75" customHeight="1">
      <c r="B92" s="204" t="s">
        <v>327</v>
      </c>
      <c r="C92" s="205" t="s">
        <v>330</v>
      </c>
      <c r="D92" s="206" t="s">
        <v>333</v>
      </c>
      <c r="E92" s="207">
        <v>1.0</v>
      </c>
      <c r="F92" s="208">
        <v>1.0</v>
      </c>
      <c r="G92" s="209"/>
      <c r="H92" s="209"/>
      <c r="I92" s="210">
        <f t="shared" si="6"/>
        <v>1</v>
      </c>
      <c r="J92" s="211">
        <f t="shared" si="7"/>
        <v>0</v>
      </c>
      <c r="K92" s="212"/>
      <c r="L92" s="214"/>
      <c r="M92" s="29" t="str">
        <f t="shared" si="3"/>
        <v>CRITICO</v>
      </c>
    </row>
    <row r="93" ht="15.75" customHeight="1">
      <c r="B93" s="204" t="s">
        <v>327</v>
      </c>
      <c r="C93" s="215" t="s">
        <v>334</v>
      </c>
      <c r="D93" s="206" t="s">
        <v>335</v>
      </c>
      <c r="E93" s="207">
        <v>1.0</v>
      </c>
      <c r="F93" s="208">
        <v>3.0</v>
      </c>
      <c r="G93" s="206">
        <v>2.0</v>
      </c>
      <c r="H93" s="209"/>
      <c r="I93" s="210">
        <f t="shared" si="6"/>
        <v>5</v>
      </c>
      <c r="J93" s="211">
        <f t="shared" si="7"/>
        <v>1</v>
      </c>
      <c r="K93" s="212"/>
      <c r="L93" s="213">
        <v>8000.0</v>
      </c>
      <c r="M93" s="29" t="str">
        <f t="shared" si="3"/>
        <v>BIEN</v>
      </c>
    </row>
    <row r="94" ht="15.75" customHeight="1">
      <c r="B94" s="204" t="s">
        <v>327</v>
      </c>
      <c r="C94" s="215" t="s">
        <v>337</v>
      </c>
      <c r="D94" s="209"/>
      <c r="E94" s="207">
        <v>1.0</v>
      </c>
      <c r="F94" s="208">
        <v>0.5</v>
      </c>
      <c r="G94" s="209"/>
      <c r="H94" s="209"/>
      <c r="I94" s="210">
        <f t="shared" si="6"/>
        <v>0.5</v>
      </c>
      <c r="J94" s="211">
        <f t="shared" si="7"/>
        <v>0</v>
      </c>
      <c r="K94" s="212"/>
      <c r="L94" s="214"/>
      <c r="M94" s="29" t="str">
        <f t="shared" si="3"/>
        <v>CRITICO</v>
      </c>
    </row>
    <row r="95" ht="15.75" customHeight="1">
      <c r="B95" s="204" t="s">
        <v>327</v>
      </c>
      <c r="C95" s="215" t="s">
        <v>339</v>
      </c>
      <c r="D95" s="206" t="s">
        <v>340</v>
      </c>
      <c r="E95" s="207">
        <v>1.0</v>
      </c>
      <c r="F95" s="208">
        <v>1.25</v>
      </c>
      <c r="G95" s="209"/>
      <c r="H95" s="209"/>
      <c r="I95" s="210">
        <f t="shared" si="6"/>
        <v>1.25</v>
      </c>
      <c r="J95" s="211">
        <f t="shared" si="7"/>
        <v>0.25</v>
      </c>
      <c r="K95" s="212"/>
      <c r="L95" s="213">
        <v>26000.0</v>
      </c>
      <c r="M95" s="29" t="str">
        <f t="shared" si="3"/>
        <v>ALERTA</v>
      </c>
    </row>
    <row r="96" ht="15.75" customHeight="1">
      <c r="B96" s="204" t="s">
        <v>327</v>
      </c>
      <c r="C96" s="205" t="s">
        <v>341</v>
      </c>
      <c r="D96" s="206" t="s">
        <v>342</v>
      </c>
      <c r="E96" s="219">
        <v>0.5</v>
      </c>
      <c r="F96" s="220">
        <v>1.25</v>
      </c>
      <c r="G96" s="209"/>
      <c r="H96" s="209"/>
      <c r="I96" s="210">
        <f t="shared" si="6"/>
        <v>1.25</v>
      </c>
      <c r="J96" s="211">
        <f t="shared" si="7"/>
        <v>1</v>
      </c>
      <c r="K96" s="212"/>
      <c r="L96" s="213">
        <v>35000.0</v>
      </c>
      <c r="M96" s="29" t="str">
        <f t="shared" si="3"/>
        <v>BIEN</v>
      </c>
    </row>
    <row r="97" ht="15.75" customHeight="1">
      <c r="B97" s="204" t="s">
        <v>327</v>
      </c>
      <c r="C97" s="205" t="s">
        <v>345</v>
      </c>
      <c r="D97" s="206" t="s">
        <v>116</v>
      </c>
      <c r="E97" s="219">
        <v>0.5</v>
      </c>
      <c r="F97" s="220">
        <v>6.0</v>
      </c>
      <c r="G97" s="206">
        <v>6.0</v>
      </c>
      <c r="H97" s="206">
        <v>3.0</v>
      </c>
      <c r="I97" s="210">
        <f t="shared" si="6"/>
        <v>9</v>
      </c>
      <c r="J97" s="211">
        <f t="shared" si="7"/>
        <v>1</v>
      </c>
      <c r="K97" s="212"/>
      <c r="L97" s="213">
        <v>30000.0</v>
      </c>
      <c r="M97" s="29" t="str">
        <f t="shared" si="3"/>
        <v>BIEN</v>
      </c>
    </row>
    <row r="98" ht="15.75" customHeight="1">
      <c r="B98" s="204" t="s">
        <v>327</v>
      </c>
      <c r="C98" s="205" t="s">
        <v>349</v>
      </c>
      <c r="D98" s="206" t="s">
        <v>350</v>
      </c>
      <c r="E98" s="219">
        <v>0.5</v>
      </c>
      <c r="F98" s="220">
        <v>1.25</v>
      </c>
      <c r="G98" s="223"/>
      <c r="H98" s="220">
        <v>1.25</v>
      </c>
      <c r="I98" s="210">
        <f t="shared" si="6"/>
        <v>0</v>
      </c>
      <c r="J98" s="211">
        <f t="shared" si="7"/>
        <v>0</v>
      </c>
      <c r="K98" s="212"/>
      <c r="L98" s="213">
        <v>110000.0</v>
      </c>
      <c r="M98" s="29" t="str">
        <f t="shared" si="3"/>
        <v>CRITICO</v>
      </c>
    </row>
    <row r="99" ht="15.75" customHeight="1">
      <c r="B99" s="204" t="s">
        <v>352</v>
      </c>
      <c r="C99" s="215" t="s">
        <v>353</v>
      </c>
      <c r="D99" s="206" t="s">
        <v>116</v>
      </c>
      <c r="E99" s="224">
        <v>3.0</v>
      </c>
      <c r="F99" s="220">
        <v>7.0</v>
      </c>
      <c r="G99" s="209"/>
      <c r="H99" s="209"/>
      <c r="I99" s="210">
        <f t="shared" si="6"/>
        <v>7</v>
      </c>
      <c r="J99" s="211">
        <f t="shared" si="7"/>
        <v>1</v>
      </c>
      <c r="K99" s="212"/>
      <c r="L99" s="213">
        <v>78635.0</v>
      </c>
      <c r="M99" s="29" t="str">
        <f t="shared" si="3"/>
        <v>BIEN</v>
      </c>
    </row>
    <row r="100" ht="15.75" customHeight="1">
      <c r="B100" s="204" t="s">
        <v>352</v>
      </c>
      <c r="C100" s="205" t="s">
        <v>353</v>
      </c>
      <c r="D100" s="206" t="s">
        <v>356</v>
      </c>
      <c r="E100" s="207">
        <v>1.0</v>
      </c>
      <c r="F100" s="220">
        <v>2.0</v>
      </c>
      <c r="G100" s="209"/>
      <c r="H100" s="206"/>
      <c r="I100" s="210">
        <f t="shared" si="6"/>
        <v>2</v>
      </c>
      <c r="J100" s="211">
        <f t="shared" si="7"/>
        <v>1</v>
      </c>
      <c r="K100" s="212"/>
      <c r="L100" s="213">
        <v>78635.0</v>
      </c>
      <c r="M100" s="29" t="str">
        <f t="shared" si="3"/>
        <v>BIEN</v>
      </c>
    </row>
    <row r="101" ht="15.75" customHeight="1">
      <c r="B101" s="204" t="s">
        <v>352</v>
      </c>
      <c r="C101" s="205" t="s">
        <v>353</v>
      </c>
      <c r="D101" s="206" t="s">
        <v>335</v>
      </c>
      <c r="E101" s="224">
        <v>3.0</v>
      </c>
      <c r="F101" s="220">
        <v>10.0</v>
      </c>
      <c r="G101" s="206"/>
      <c r="H101" s="206">
        <v>10.0</v>
      </c>
      <c r="I101" s="210">
        <f t="shared" si="6"/>
        <v>0</v>
      </c>
      <c r="J101" s="211">
        <f t="shared" si="7"/>
        <v>0</v>
      </c>
      <c r="K101" s="212"/>
      <c r="L101" s="213">
        <v>78635.0</v>
      </c>
      <c r="M101" s="29" t="str">
        <f t="shared" si="3"/>
        <v>CRITICO</v>
      </c>
    </row>
    <row r="102" ht="15.75" customHeight="1">
      <c r="B102" s="204" t="s">
        <v>352</v>
      </c>
      <c r="C102" s="215" t="s">
        <v>349</v>
      </c>
      <c r="D102" s="206" t="s">
        <v>116</v>
      </c>
      <c r="E102" s="224">
        <v>2.0</v>
      </c>
      <c r="F102" s="206">
        <v>5.0</v>
      </c>
      <c r="G102" s="209"/>
      <c r="H102" s="206">
        <v>5.0</v>
      </c>
      <c r="I102" s="210">
        <f t="shared" si="6"/>
        <v>0</v>
      </c>
      <c r="J102" s="211">
        <f t="shared" si="7"/>
        <v>0</v>
      </c>
      <c r="K102" s="212"/>
      <c r="L102" s="213">
        <v>80000.0</v>
      </c>
      <c r="M102" s="29" t="str">
        <f t="shared" si="3"/>
        <v>CRITICO</v>
      </c>
    </row>
    <row r="103" ht="15.75" customHeight="1">
      <c r="B103" s="204" t="s">
        <v>352</v>
      </c>
      <c r="C103" s="205" t="s">
        <v>362</v>
      </c>
      <c r="D103" s="206" t="s">
        <v>364</v>
      </c>
      <c r="E103" s="207">
        <v>1.0</v>
      </c>
      <c r="F103" s="220">
        <v>8.0</v>
      </c>
      <c r="G103" s="209"/>
      <c r="H103" s="209"/>
      <c r="I103" s="210">
        <f t="shared" si="6"/>
        <v>8</v>
      </c>
      <c r="J103" s="211">
        <f t="shared" si="7"/>
        <v>1</v>
      </c>
      <c r="K103" s="212"/>
      <c r="L103" s="213">
        <v>274176.0</v>
      </c>
      <c r="M103" s="29" t="str">
        <f t="shared" si="3"/>
        <v>BIEN</v>
      </c>
    </row>
    <row r="104" ht="15.75" customHeight="1">
      <c r="B104" s="225" t="s">
        <v>365</v>
      </c>
      <c r="C104" s="226" t="s">
        <v>369</v>
      </c>
      <c r="D104" s="227" t="s">
        <v>342</v>
      </c>
      <c r="E104" s="228">
        <v>1.0</v>
      </c>
      <c r="F104" s="229">
        <v>3.0</v>
      </c>
      <c r="G104" s="229"/>
      <c r="H104" s="229"/>
      <c r="I104" s="230">
        <f t="shared" si="6"/>
        <v>3</v>
      </c>
      <c r="J104" s="231">
        <f t="shared" si="7"/>
        <v>1</v>
      </c>
      <c r="K104" s="232"/>
      <c r="L104" s="233">
        <v>40000.0</v>
      </c>
      <c r="M104" s="29" t="str">
        <f t="shared" si="3"/>
        <v>BIEN</v>
      </c>
    </row>
    <row r="105" ht="15.75" customHeight="1">
      <c r="B105" s="225" t="s">
        <v>365</v>
      </c>
      <c r="C105" s="226" t="s">
        <v>369</v>
      </c>
      <c r="D105" s="227" t="s">
        <v>373</v>
      </c>
      <c r="E105" s="228">
        <v>1.0</v>
      </c>
      <c r="F105" s="229">
        <v>2.0</v>
      </c>
      <c r="G105" s="234"/>
      <c r="H105" s="227">
        <v>1.0</v>
      </c>
      <c r="I105" s="230">
        <f t="shared" si="6"/>
        <v>1</v>
      </c>
      <c r="J105" s="231">
        <f t="shared" si="7"/>
        <v>0</v>
      </c>
      <c r="K105" s="232"/>
      <c r="L105" s="233">
        <v>40000.0</v>
      </c>
      <c r="M105" s="29" t="str">
        <f t="shared" si="3"/>
        <v>CRITICO</v>
      </c>
    </row>
    <row r="106" ht="15.75" customHeight="1">
      <c r="B106" s="225" t="s">
        <v>365</v>
      </c>
      <c r="C106" s="226" t="s">
        <v>377</v>
      </c>
      <c r="D106" s="236" t="s">
        <v>378</v>
      </c>
      <c r="E106" s="237">
        <v>1.0</v>
      </c>
      <c r="F106" s="229">
        <v>5.0</v>
      </c>
      <c r="G106" s="234"/>
      <c r="H106" s="234"/>
      <c r="I106" s="230">
        <f t="shared" si="6"/>
        <v>5</v>
      </c>
      <c r="J106" s="231">
        <f t="shared" si="7"/>
        <v>1</v>
      </c>
      <c r="K106" s="232"/>
      <c r="L106" s="233">
        <v>65000.0</v>
      </c>
      <c r="M106" s="29" t="str">
        <f t="shared" si="3"/>
        <v>BIEN</v>
      </c>
    </row>
    <row r="107" ht="15.75" customHeight="1">
      <c r="B107" s="225" t="s">
        <v>365</v>
      </c>
      <c r="C107" s="226" t="s">
        <v>382</v>
      </c>
      <c r="D107" s="238" t="s">
        <v>383</v>
      </c>
      <c r="E107" s="239">
        <v>1.4</v>
      </c>
      <c r="F107" s="229">
        <v>4.0</v>
      </c>
      <c r="G107" s="234"/>
      <c r="H107" s="234"/>
      <c r="I107" s="230">
        <f t="shared" si="6"/>
        <v>4</v>
      </c>
      <c r="J107" s="231">
        <f t="shared" si="7"/>
        <v>1</v>
      </c>
      <c r="K107" s="240"/>
      <c r="L107" s="241">
        <v>120000.0</v>
      </c>
      <c r="M107" s="29" t="str">
        <f t="shared" si="3"/>
        <v>BIEN</v>
      </c>
    </row>
    <row r="108" ht="15.75" customHeight="1">
      <c r="B108" s="225" t="s">
        <v>365</v>
      </c>
      <c r="C108" s="226" t="s">
        <v>385</v>
      </c>
      <c r="D108" s="240"/>
      <c r="E108" s="237">
        <v>1.0</v>
      </c>
      <c r="F108" s="229">
        <v>5.0</v>
      </c>
      <c r="G108" s="234"/>
      <c r="H108" s="234"/>
      <c r="I108" s="230">
        <f t="shared" si="6"/>
        <v>5</v>
      </c>
      <c r="J108" s="231">
        <f t="shared" si="7"/>
        <v>1</v>
      </c>
      <c r="K108" s="240"/>
      <c r="L108" s="242"/>
      <c r="M108" s="29" t="str">
        <f t="shared" si="3"/>
        <v>BIEN</v>
      </c>
    </row>
    <row r="109" ht="15.75" customHeight="1">
      <c r="B109" s="225" t="s">
        <v>365</v>
      </c>
      <c r="C109" s="226" t="s">
        <v>386</v>
      </c>
      <c r="D109" s="238"/>
      <c r="E109" s="243">
        <v>0.5</v>
      </c>
      <c r="F109" s="229">
        <v>0.25</v>
      </c>
      <c r="G109" s="234"/>
      <c r="H109" s="234"/>
      <c r="I109" s="230">
        <f t="shared" si="6"/>
        <v>0.25</v>
      </c>
      <c r="J109" s="231">
        <f t="shared" si="7"/>
        <v>0</v>
      </c>
      <c r="K109" s="240"/>
      <c r="L109" s="244"/>
      <c r="M109" s="29" t="str">
        <f t="shared" si="3"/>
        <v>CRITICO</v>
      </c>
    </row>
    <row r="110" ht="15.75" customHeight="1">
      <c r="B110" s="115" t="s">
        <v>389</v>
      </c>
      <c r="C110" s="96" t="s">
        <v>390</v>
      </c>
      <c r="D110" s="56" t="s">
        <v>24</v>
      </c>
      <c r="E110" s="182">
        <v>20.0</v>
      </c>
      <c r="F110" s="117">
        <v>150.0</v>
      </c>
      <c r="G110" s="43"/>
      <c r="H110" s="43"/>
      <c r="I110" s="180">
        <f t="shared" si="6"/>
        <v>150</v>
      </c>
      <c r="J110" s="181">
        <f t="shared" si="7"/>
        <v>1</v>
      </c>
      <c r="K110" s="38"/>
      <c r="L110" s="185">
        <v>211.0</v>
      </c>
      <c r="M110" s="29" t="str">
        <f t="shared" si="3"/>
        <v>BIEN</v>
      </c>
    </row>
    <row r="111" ht="15.75" customHeight="1">
      <c r="B111" s="115" t="s">
        <v>389</v>
      </c>
      <c r="C111" s="96" t="s">
        <v>393</v>
      </c>
      <c r="D111" s="56" t="s">
        <v>24</v>
      </c>
      <c r="E111" s="182">
        <v>20.0</v>
      </c>
      <c r="F111" s="117">
        <v>100.0</v>
      </c>
      <c r="G111" s="43"/>
      <c r="H111" s="43"/>
      <c r="I111" s="180">
        <f t="shared" si="6"/>
        <v>100</v>
      </c>
      <c r="J111" s="181">
        <f t="shared" si="7"/>
        <v>1</v>
      </c>
      <c r="K111" s="38"/>
      <c r="L111" s="185">
        <v>200.0</v>
      </c>
      <c r="M111" s="29" t="str">
        <f t="shared" si="3"/>
        <v>BIEN</v>
      </c>
    </row>
    <row r="112" ht="15.75" customHeight="1">
      <c r="B112" s="115" t="s">
        <v>389</v>
      </c>
      <c r="C112" s="96" t="s">
        <v>398</v>
      </c>
      <c r="D112" s="56" t="s">
        <v>24</v>
      </c>
      <c r="E112" s="182">
        <v>20.0</v>
      </c>
      <c r="F112" s="117">
        <v>100.0</v>
      </c>
      <c r="G112" s="43"/>
      <c r="H112" s="43"/>
      <c r="I112" s="180">
        <f t="shared" si="6"/>
        <v>100</v>
      </c>
      <c r="J112" s="181">
        <f t="shared" si="7"/>
        <v>1</v>
      </c>
      <c r="K112" s="38"/>
      <c r="L112" s="185">
        <v>330.0</v>
      </c>
      <c r="M112" s="29" t="str">
        <f t="shared" si="3"/>
        <v>BIEN</v>
      </c>
    </row>
    <row r="113" ht="15.75" customHeight="1">
      <c r="B113" s="115" t="s">
        <v>389</v>
      </c>
      <c r="C113" s="96" t="s">
        <v>401</v>
      </c>
      <c r="D113" s="56" t="s">
        <v>24</v>
      </c>
      <c r="E113" s="182">
        <v>20.0</v>
      </c>
      <c r="F113" s="117">
        <v>100.0</v>
      </c>
      <c r="G113" s="43"/>
      <c r="H113" s="43"/>
      <c r="I113" s="180">
        <f t="shared" si="6"/>
        <v>100</v>
      </c>
      <c r="J113" s="181">
        <f t="shared" si="7"/>
        <v>1</v>
      </c>
      <c r="K113" s="38"/>
      <c r="L113" s="185">
        <v>83.0</v>
      </c>
      <c r="M113" s="29" t="str">
        <f t="shared" si="3"/>
        <v>BIEN</v>
      </c>
    </row>
    <row r="114" ht="15.75" customHeight="1">
      <c r="B114" s="115" t="s">
        <v>389</v>
      </c>
      <c r="C114" s="152" t="s">
        <v>405</v>
      </c>
      <c r="D114" s="56" t="s">
        <v>24</v>
      </c>
      <c r="E114" s="182">
        <v>20.0</v>
      </c>
      <c r="F114" s="245" t="s">
        <v>406</v>
      </c>
      <c r="G114" s="43"/>
      <c r="H114" s="43"/>
      <c r="I114" s="246">
        <f t="shared" si="6"/>
        <v>100</v>
      </c>
      <c r="J114" s="181">
        <f t="shared" si="7"/>
        <v>1</v>
      </c>
      <c r="K114" s="38"/>
      <c r="L114" s="185">
        <v>270.0</v>
      </c>
      <c r="M114" s="29" t="str">
        <f t="shared" si="3"/>
        <v>BIEN</v>
      </c>
    </row>
    <row r="115" ht="15.75" customHeight="1">
      <c r="B115" s="115" t="s">
        <v>389</v>
      </c>
      <c r="C115" s="96" t="s">
        <v>409</v>
      </c>
      <c r="D115" s="56" t="s">
        <v>24</v>
      </c>
      <c r="E115" s="182">
        <v>20.0</v>
      </c>
      <c r="F115" s="245" t="s">
        <v>406</v>
      </c>
      <c r="G115" s="43"/>
      <c r="H115" s="43"/>
      <c r="I115" s="246">
        <f t="shared" si="6"/>
        <v>100</v>
      </c>
      <c r="J115" s="181">
        <f t="shared" si="7"/>
        <v>1</v>
      </c>
      <c r="K115" s="38"/>
      <c r="L115" s="185">
        <v>364.0</v>
      </c>
      <c r="M115" s="29" t="str">
        <f t="shared" si="3"/>
        <v>BIEN</v>
      </c>
    </row>
    <row r="116" ht="15.75" customHeight="1">
      <c r="B116" s="115" t="s">
        <v>389</v>
      </c>
      <c r="C116" s="96" t="s">
        <v>413</v>
      </c>
      <c r="D116" s="56" t="s">
        <v>24</v>
      </c>
      <c r="E116" s="182">
        <v>20.0</v>
      </c>
      <c r="F116" s="117">
        <v>100.0</v>
      </c>
      <c r="G116" s="43"/>
      <c r="H116" s="43"/>
      <c r="I116" s="180">
        <f t="shared" si="6"/>
        <v>100</v>
      </c>
      <c r="J116" s="181">
        <f t="shared" si="7"/>
        <v>1</v>
      </c>
      <c r="K116" s="38"/>
      <c r="L116" s="185">
        <v>700.0</v>
      </c>
      <c r="M116" s="29" t="str">
        <f t="shared" si="3"/>
        <v>BIEN</v>
      </c>
    </row>
    <row r="117" ht="15.75" customHeight="1">
      <c r="B117" s="115" t="s">
        <v>389</v>
      </c>
      <c r="C117" s="96" t="s">
        <v>417</v>
      </c>
      <c r="D117" s="56" t="s">
        <v>24</v>
      </c>
      <c r="E117" s="182">
        <v>20.0</v>
      </c>
      <c r="F117" s="117">
        <v>100.0</v>
      </c>
      <c r="G117" s="43"/>
      <c r="H117" s="43"/>
      <c r="I117" s="180">
        <f t="shared" si="6"/>
        <v>100</v>
      </c>
      <c r="J117" s="181">
        <f t="shared" si="7"/>
        <v>1</v>
      </c>
      <c r="K117" s="38"/>
      <c r="L117" s="185">
        <v>430.0</v>
      </c>
      <c r="M117" s="29" t="str">
        <f t="shared" si="3"/>
        <v>BIEN</v>
      </c>
    </row>
    <row r="118" ht="15.75" customHeight="1">
      <c r="B118" s="140"/>
      <c r="C118" s="149"/>
      <c r="D118" s="14"/>
      <c r="E118" s="52"/>
      <c r="F118" s="138"/>
      <c r="G118" s="43"/>
      <c r="H118" s="43"/>
      <c r="I118" s="180"/>
      <c r="J118" s="181"/>
      <c r="K118" s="14"/>
      <c r="L118" s="247"/>
      <c r="M118" s="29" t="str">
        <f t="shared" si="3"/>
        <v>CRITICO</v>
      </c>
    </row>
    <row r="119" ht="15.75" customHeight="1">
      <c r="B119" s="140"/>
      <c r="C119" s="149"/>
      <c r="D119" s="14"/>
      <c r="E119" s="52"/>
      <c r="F119" s="138"/>
      <c r="G119" s="43"/>
      <c r="H119" s="43"/>
      <c r="I119" s="180"/>
      <c r="J119" s="181"/>
      <c r="K119" s="14"/>
      <c r="L119" s="247"/>
      <c r="M119" s="29" t="str">
        <f t="shared" si="3"/>
        <v>CRITICO</v>
      </c>
    </row>
    <row r="120" ht="15.75" customHeight="1">
      <c r="B120" s="140"/>
      <c r="C120" s="149"/>
      <c r="D120" s="14"/>
      <c r="E120" s="52"/>
      <c r="F120" s="138"/>
      <c r="G120" s="43"/>
      <c r="H120" s="43"/>
      <c r="I120" s="180"/>
      <c r="J120" s="181"/>
      <c r="K120" s="14"/>
      <c r="L120" s="247"/>
      <c r="M120" s="29" t="str">
        <f t="shared" si="3"/>
        <v>CRITICO</v>
      </c>
    </row>
    <row r="121" ht="15.75" customHeight="1">
      <c r="B121" s="140"/>
      <c r="C121" s="149"/>
      <c r="D121" s="38"/>
      <c r="E121" s="52"/>
      <c r="F121" s="138"/>
      <c r="G121" s="43"/>
      <c r="H121" s="43"/>
      <c r="I121" s="180"/>
      <c r="J121" s="181"/>
      <c r="K121" s="38"/>
      <c r="L121" s="248"/>
      <c r="M121" s="29" t="str">
        <f t="shared" si="3"/>
        <v>CRITICO</v>
      </c>
    </row>
    <row r="122" ht="15.75" customHeight="1">
      <c r="B122" s="140"/>
      <c r="C122" s="149"/>
      <c r="D122" s="38"/>
      <c r="E122" s="52"/>
      <c r="F122" s="175"/>
      <c r="G122" s="43"/>
      <c r="H122" s="43"/>
      <c r="I122" s="180"/>
      <c r="J122" s="181"/>
      <c r="K122" s="38"/>
      <c r="L122" s="248"/>
      <c r="M122" s="29" t="str">
        <f t="shared" si="3"/>
        <v>CRITICO</v>
      </c>
    </row>
    <row r="123" ht="15.75" customHeight="1">
      <c r="B123" s="140"/>
      <c r="C123" s="149"/>
      <c r="D123" s="38"/>
      <c r="E123" s="52"/>
      <c r="F123" s="175"/>
      <c r="G123" s="43"/>
      <c r="H123" s="43"/>
      <c r="I123" s="180"/>
      <c r="J123" s="181"/>
      <c r="K123" s="38"/>
      <c r="L123" s="248"/>
      <c r="M123" s="29" t="str">
        <f t="shared" si="3"/>
        <v>CRITICO</v>
      </c>
    </row>
    <row r="124" ht="15.75" customHeight="1">
      <c r="B124" s="140"/>
      <c r="C124" s="149"/>
      <c r="D124" s="38"/>
      <c r="E124" s="52"/>
      <c r="F124" s="138"/>
      <c r="G124" s="43"/>
      <c r="H124" s="43"/>
      <c r="I124" s="180"/>
      <c r="J124" s="181"/>
      <c r="K124" s="38"/>
      <c r="L124" s="248"/>
      <c r="M124" s="29" t="str">
        <f t="shared" si="3"/>
        <v>CRITICO</v>
      </c>
    </row>
    <row r="125" ht="15.75" customHeight="1">
      <c r="B125" s="140"/>
      <c r="C125" s="149"/>
      <c r="D125" s="38"/>
      <c r="E125" s="52"/>
      <c r="F125" s="138"/>
      <c r="G125" s="43"/>
      <c r="H125" s="43"/>
      <c r="I125" s="180"/>
      <c r="J125" s="181"/>
      <c r="K125" s="38"/>
      <c r="L125" s="248"/>
      <c r="M125" s="29" t="str">
        <f t="shared" si="3"/>
        <v>CRITICO</v>
      </c>
    </row>
    <row r="126" ht="15.75" customHeight="1">
      <c r="B126" s="140"/>
      <c r="C126" s="149"/>
      <c r="D126" s="38"/>
      <c r="E126" s="52"/>
      <c r="F126" s="138"/>
      <c r="G126" s="43"/>
      <c r="H126" s="43"/>
      <c r="I126" s="180"/>
      <c r="J126" s="181"/>
      <c r="K126" s="38"/>
      <c r="L126" s="248"/>
      <c r="M126" s="29" t="str">
        <f t="shared" si="3"/>
        <v>CRITICO</v>
      </c>
    </row>
    <row r="127" ht="15.75" customHeight="1">
      <c r="B127" s="94"/>
      <c r="C127" s="96"/>
      <c r="D127" s="56"/>
      <c r="E127" s="15"/>
      <c r="F127" s="146"/>
      <c r="G127" s="43"/>
      <c r="H127" s="43"/>
      <c r="I127" s="38"/>
      <c r="J127" s="25"/>
      <c r="K127" s="106"/>
      <c r="L127" s="248"/>
      <c r="M127" s="29" t="str">
        <f t="shared" si="3"/>
        <v>CRITICO</v>
      </c>
    </row>
    <row r="128" ht="15.75" customHeight="1">
      <c r="B128" s="94"/>
      <c r="C128" s="96"/>
      <c r="D128" s="56"/>
      <c r="E128" s="15"/>
      <c r="F128" s="146"/>
      <c r="G128" s="43"/>
      <c r="H128" s="43"/>
      <c r="I128" s="38"/>
      <c r="J128" s="25"/>
      <c r="K128" s="136"/>
      <c r="L128" s="248"/>
      <c r="M128" s="29" t="str">
        <f t="shared" si="3"/>
        <v>CRITICO</v>
      </c>
    </row>
    <row r="129" ht="15.75" customHeight="1">
      <c r="B129" s="94"/>
      <c r="C129" s="96"/>
      <c r="D129" s="56"/>
      <c r="E129" s="15"/>
      <c r="F129" s="146"/>
      <c r="G129" s="150"/>
      <c r="H129" s="150"/>
      <c r="I129" s="38"/>
      <c r="J129" s="25"/>
      <c r="K129" s="106"/>
      <c r="L129" s="248"/>
      <c r="M129" s="29" t="str">
        <f t="shared" si="3"/>
        <v>CRITICO</v>
      </c>
    </row>
    <row r="130" ht="15.75" customHeight="1">
      <c r="B130" s="94"/>
      <c r="C130" s="152"/>
      <c r="D130" s="56"/>
      <c r="E130" s="15"/>
      <c r="F130" s="117"/>
      <c r="G130" s="43"/>
      <c r="H130" s="43"/>
      <c r="I130" s="38"/>
      <c r="J130" s="25"/>
      <c r="K130" s="106"/>
      <c r="L130" s="248"/>
      <c r="M130" s="29" t="str">
        <f t="shared" si="3"/>
        <v>CRITICO</v>
      </c>
    </row>
    <row r="131" ht="15.75" customHeight="1">
      <c r="B131" s="94"/>
      <c r="C131" s="96"/>
      <c r="D131" s="56"/>
      <c r="E131" s="15"/>
      <c r="F131" s="117"/>
      <c r="G131" s="117"/>
      <c r="H131" s="117"/>
      <c r="I131" s="38"/>
      <c r="J131" s="25"/>
      <c r="K131" s="106"/>
      <c r="L131" s="248"/>
      <c r="M131" s="29" t="str">
        <f t="shared" si="3"/>
        <v>CRITICO</v>
      </c>
    </row>
    <row r="132" ht="15.75" customHeight="1">
      <c r="B132" s="94"/>
      <c r="C132" s="96"/>
      <c r="D132" s="56"/>
      <c r="E132" s="15"/>
      <c r="F132" s="117"/>
      <c r="G132" s="117"/>
      <c r="H132" s="117"/>
      <c r="I132" s="38"/>
      <c r="J132" s="25"/>
      <c r="K132" s="106"/>
      <c r="L132" s="248"/>
      <c r="M132" s="29" t="str">
        <f t="shared" si="3"/>
        <v>CRITICO</v>
      </c>
    </row>
    <row r="133" ht="15.75" customHeight="1">
      <c r="B133" s="94"/>
      <c r="C133" s="96"/>
      <c r="D133" s="56"/>
      <c r="E133" s="15"/>
      <c r="F133" s="117"/>
      <c r="G133" s="138"/>
      <c r="H133" s="117"/>
      <c r="I133" s="38"/>
      <c r="J133" s="25"/>
      <c r="K133" s="106"/>
      <c r="L133" s="248"/>
      <c r="M133" s="29" t="str">
        <f t="shared" si="3"/>
        <v>CRITICO</v>
      </c>
    </row>
    <row r="134" ht="15.75" customHeight="1">
      <c r="B134" s="140"/>
      <c r="C134" s="249"/>
      <c r="D134" s="38"/>
      <c r="E134" s="52"/>
      <c r="F134" s="138"/>
      <c r="G134" s="43"/>
      <c r="H134" s="43"/>
      <c r="I134" s="180"/>
      <c r="J134" s="181"/>
      <c r="K134" s="38"/>
      <c r="L134" s="248"/>
      <c r="M134" s="29" t="str">
        <f t="shared" si="3"/>
        <v>CRITICO</v>
      </c>
    </row>
    <row r="135" ht="15.75" customHeight="1">
      <c r="B135" s="140"/>
      <c r="C135" s="249"/>
      <c r="D135" s="38"/>
      <c r="E135" s="52"/>
      <c r="F135" s="138"/>
      <c r="G135" s="43"/>
      <c r="H135" s="43"/>
      <c r="I135" s="180"/>
      <c r="J135" s="181"/>
      <c r="K135" s="38"/>
      <c r="L135" s="248"/>
      <c r="M135" s="29" t="str">
        <f t="shared" si="3"/>
        <v>CRITICO</v>
      </c>
    </row>
    <row r="136" ht="15.75" customHeight="1">
      <c r="B136" s="140"/>
      <c r="C136" s="249"/>
      <c r="D136" s="38"/>
      <c r="E136" s="52"/>
      <c r="F136" s="138"/>
      <c r="G136" s="43"/>
      <c r="H136" s="43"/>
      <c r="I136" s="180"/>
      <c r="J136" s="181"/>
      <c r="K136" s="38"/>
      <c r="L136" s="248"/>
      <c r="M136" s="29" t="str">
        <f t="shared" si="3"/>
        <v>CRITICO</v>
      </c>
    </row>
    <row r="137" ht="15.75" customHeight="1">
      <c r="B137" s="140"/>
      <c r="C137" s="249"/>
      <c r="D137" s="38"/>
      <c r="E137" s="52"/>
      <c r="F137" s="138"/>
      <c r="G137" s="43"/>
      <c r="H137" s="43"/>
      <c r="I137" s="180"/>
      <c r="J137" s="181"/>
      <c r="K137" s="38"/>
      <c r="L137" s="248"/>
      <c r="M137" s="29" t="str">
        <f t="shared" si="3"/>
        <v>CRITICO</v>
      </c>
    </row>
    <row r="138" ht="15.75" customHeight="1">
      <c r="B138" s="140"/>
      <c r="C138" s="249"/>
      <c r="D138" s="38"/>
      <c r="E138" s="52"/>
      <c r="F138" s="138"/>
      <c r="G138" s="43"/>
      <c r="H138" s="43"/>
      <c r="I138" s="180"/>
      <c r="J138" s="181"/>
      <c r="K138" s="38"/>
      <c r="L138" s="248"/>
      <c r="M138" s="29" t="str">
        <f t="shared" si="3"/>
        <v>CRITICO</v>
      </c>
    </row>
    <row r="139" ht="15.75" customHeight="1">
      <c r="B139" s="140"/>
      <c r="C139" s="249"/>
      <c r="D139" s="38"/>
      <c r="E139" s="52"/>
      <c r="F139" s="138"/>
      <c r="G139" s="43"/>
      <c r="H139" s="43"/>
      <c r="I139" s="180"/>
      <c r="J139" s="181"/>
      <c r="K139" s="38"/>
      <c r="L139" s="248"/>
      <c r="M139" s="29" t="str">
        <f t="shared" si="3"/>
        <v>CRITICO</v>
      </c>
    </row>
    <row r="140" ht="15.75" customHeight="1">
      <c r="B140" s="140"/>
      <c r="C140" s="249"/>
      <c r="D140" s="38"/>
      <c r="E140" s="52"/>
      <c r="F140" s="138"/>
      <c r="G140" s="43"/>
      <c r="H140" s="43"/>
      <c r="I140" s="180"/>
      <c r="J140" s="181"/>
      <c r="K140" s="38"/>
      <c r="L140" s="248"/>
      <c r="M140" s="29" t="str">
        <f t="shared" si="3"/>
        <v>CRITICO</v>
      </c>
    </row>
    <row r="141" ht="15.75" customHeight="1">
      <c r="B141" s="140"/>
      <c r="C141" s="249"/>
      <c r="D141" s="38"/>
      <c r="E141" s="52"/>
      <c r="F141" s="138"/>
      <c r="G141" s="43"/>
      <c r="H141" s="43"/>
      <c r="I141" s="180"/>
      <c r="J141" s="181"/>
      <c r="K141" s="38"/>
      <c r="L141" s="248"/>
      <c r="M141" s="29" t="str">
        <f t="shared" si="3"/>
        <v>CRITICO</v>
      </c>
    </row>
    <row r="142" ht="15.75" customHeight="1">
      <c r="B142" s="140"/>
      <c r="C142" s="249"/>
      <c r="D142" s="38"/>
      <c r="E142" s="52"/>
      <c r="F142" s="138"/>
      <c r="G142" s="43"/>
      <c r="H142" s="43"/>
      <c r="I142" s="180"/>
      <c r="J142" s="181"/>
      <c r="K142" s="38"/>
      <c r="L142" s="248"/>
      <c r="M142" s="29" t="str">
        <f t="shared" si="3"/>
        <v>CRITICO</v>
      </c>
    </row>
    <row r="143" ht="15.75" customHeight="1">
      <c r="B143" s="140"/>
      <c r="C143" s="249"/>
      <c r="D143" s="38"/>
      <c r="E143" s="52"/>
      <c r="F143" s="138"/>
      <c r="G143" s="43"/>
      <c r="H143" s="43"/>
      <c r="I143" s="180"/>
      <c r="J143" s="181"/>
      <c r="K143" s="38"/>
      <c r="L143" s="248"/>
      <c r="M143" s="29" t="str">
        <f t="shared" si="3"/>
        <v>CRITICO</v>
      </c>
    </row>
    <row r="144" ht="15.75" customHeight="1">
      <c r="B144" s="140"/>
      <c r="C144" s="249"/>
      <c r="D144" s="38"/>
      <c r="E144" s="52"/>
      <c r="F144" s="138"/>
      <c r="G144" s="43"/>
      <c r="H144" s="43"/>
      <c r="I144" s="180"/>
      <c r="J144" s="181"/>
      <c r="K144" s="38"/>
      <c r="L144" s="248"/>
      <c r="M144" s="29" t="str">
        <f t="shared" si="3"/>
        <v>CRITICO</v>
      </c>
    </row>
    <row r="145" ht="15.75" customHeight="1">
      <c r="B145" s="140"/>
      <c r="C145" s="216"/>
      <c r="D145" s="38"/>
      <c r="E145" s="52"/>
      <c r="F145" s="138"/>
      <c r="G145" s="43"/>
      <c r="H145" s="43"/>
      <c r="I145" s="180"/>
      <c r="J145" s="181"/>
      <c r="K145" s="38"/>
      <c r="L145" s="248"/>
      <c r="M145" s="29" t="str">
        <f t="shared" si="3"/>
        <v>CRITICO</v>
      </c>
    </row>
    <row r="146" ht="15.75" customHeight="1">
      <c r="B146" s="140"/>
      <c r="C146" s="216"/>
      <c r="D146" s="38"/>
      <c r="E146" s="52"/>
      <c r="F146" s="138"/>
      <c r="G146" s="43"/>
      <c r="H146" s="43"/>
      <c r="I146" s="180"/>
      <c r="J146" s="181"/>
      <c r="K146" s="38"/>
      <c r="L146" s="248"/>
      <c r="M146" s="29" t="str">
        <f t="shared" si="3"/>
        <v>CRITICO</v>
      </c>
    </row>
    <row r="147" ht="15.75" customHeight="1">
      <c r="B147" s="140"/>
      <c r="C147" s="249"/>
      <c r="D147" s="38"/>
      <c r="E147" s="52"/>
      <c r="F147" s="138"/>
      <c r="G147" s="43"/>
      <c r="H147" s="43"/>
      <c r="I147" s="180"/>
      <c r="J147" s="181"/>
      <c r="K147" s="38"/>
      <c r="L147" s="248"/>
      <c r="M147" s="29" t="str">
        <f t="shared" si="3"/>
        <v>CRITICO</v>
      </c>
    </row>
    <row r="148" ht="15.75" customHeight="1">
      <c r="B148" s="140"/>
      <c r="C148" s="216"/>
      <c r="D148" s="38"/>
      <c r="E148" s="52"/>
      <c r="F148" s="138"/>
      <c r="G148" s="43"/>
      <c r="H148" s="43"/>
      <c r="I148" s="180"/>
      <c r="J148" s="181"/>
      <c r="K148" s="38"/>
      <c r="L148" s="248"/>
      <c r="M148" s="29" t="str">
        <f t="shared" si="3"/>
        <v>CRITICO</v>
      </c>
    </row>
    <row r="149" ht="15.75" customHeight="1">
      <c r="B149" s="140"/>
      <c r="C149" s="216"/>
      <c r="D149" s="38"/>
      <c r="E149" s="52"/>
      <c r="F149" s="138"/>
      <c r="G149" s="43"/>
      <c r="H149" s="43"/>
      <c r="I149" s="180"/>
      <c r="J149" s="181"/>
      <c r="K149" s="38"/>
      <c r="L149" s="248"/>
      <c r="M149" s="29" t="str">
        <f t="shared" si="3"/>
        <v>CRITICO</v>
      </c>
    </row>
    <row r="150" ht="15.75" customHeight="1">
      <c r="B150" s="140"/>
      <c r="C150" s="216"/>
      <c r="D150" s="38"/>
      <c r="E150" s="52"/>
      <c r="F150" s="138"/>
      <c r="G150" s="43"/>
      <c r="H150" s="43"/>
      <c r="I150" s="180"/>
      <c r="J150" s="181"/>
      <c r="K150" s="38"/>
      <c r="L150" s="248"/>
      <c r="M150" s="29" t="str">
        <f t="shared" si="3"/>
        <v>CRITICO</v>
      </c>
    </row>
    <row r="151" ht="15.75" customHeight="1">
      <c r="B151" s="222"/>
      <c r="C151" s="149"/>
      <c r="D151" s="38"/>
      <c r="E151" s="52"/>
      <c r="F151" s="253"/>
      <c r="G151" s="43"/>
      <c r="H151" s="43"/>
      <c r="I151" s="180"/>
      <c r="J151" s="181"/>
      <c r="K151" s="38"/>
      <c r="L151" s="248"/>
      <c r="M151" s="29" t="str">
        <f t="shared" si="3"/>
        <v>CRITICO</v>
      </c>
    </row>
    <row r="152" ht="15.75" customHeight="1">
      <c r="B152" s="222"/>
      <c r="C152" s="149"/>
      <c r="D152" s="38"/>
      <c r="E152" s="52"/>
      <c r="F152" s="253"/>
      <c r="G152" s="43"/>
      <c r="H152" s="43"/>
      <c r="I152" s="180"/>
      <c r="J152" s="181"/>
      <c r="K152" s="38"/>
      <c r="L152" s="248"/>
      <c r="M152" s="29" t="str">
        <f t="shared" si="3"/>
        <v>CRITICO</v>
      </c>
    </row>
    <row r="153" ht="15.75" customHeight="1">
      <c r="B153" s="222"/>
      <c r="C153" s="149"/>
      <c r="D153" s="38"/>
      <c r="E153" s="52"/>
      <c r="F153" s="253"/>
      <c r="G153" s="43"/>
      <c r="H153" s="43"/>
      <c r="I153" s="180"/>
      <c r="J153" s="181"/>
      <c r="K153" s="38"/>
      <c r="L153" s="248"/>
      <c r="M153" s="29" t="str">
        <f t="shared" si="3"/>
        <v>CRITICO</v>
      </c>
    </row>
    <row r="154" ht="15.75" customHeight="1">
      <c r="B154" s="222"/>
      <c r="C154" s="149"/>
      <c r="D154" s="38"/>
      <c r="E154" s="52"/>
      <c r="F154" s="253"/>
      <c r="G154" s="43"/>
      <c r="H154" s="43"/>
      <c r="I154" s="180"/>
      <c r="J154" s="181"/>
      <c r="K154" s="38"/>
      <c r="L154" s="248"/>
      <c r="M154" s="29" t="str">
        <f t="shared" si="3"/>
        <v>CRITICO</v>
      </c>
    </row>
    <row r="155" ht="15.75" customHeight="1">
      <c r="B155" s="222"/>
      <c r="C155" s="149"/>
      <c r="D155" s="38"/>
      <c r="E155" s="52"/>
      <c r="F155" s="253"/>
      <c r="G155" s="43"/>
      <c r="H155" s="43"/>
      <c r="I155" s="180"/>
      <c r="J155" s="181"/>
      <c r="K155" s="38"/>
      <c r="L155" s="248"/>
      <c r="M155" s="29" t="str">
        <f t="shared" si="3"/>
        <v>CRITICO</v>
      </c>
    </row>
    <row r="156" ht="15.75" customHeight="1">
      <c r="B156" s="222"/>
      <c r="C156" s="149"/>
      <c r="D156" s="38"/>
      <c r="E156" s="52"/>
      <c r="F156" s="253"/>
      <c r="G156" s="43"/>
      <c r="H156" s="43"/>
      <c r="I156" s="180"/>
      <c r="J156" s="181"/>
      <c r="K156" s="38"/>
      <c r="L156" s="248"/>
      <c r="M156" s="29" t="str">
        <f t="shared" si="3"/>
        <v>CRITICO</v>
      </c>
    </row>
    <row r="157" ht="15.75" customHeight="1">
      <c r="B157" s="222"/>
      <c r="C157" s="149"/>
      <c r="D157" s="38"/>
      <c r="E157" s="52"/>
      <c r="F157" s="253"/>
      <c r="G157" s="43"/>
      <c r="H157" s="43"/>
      <c r="I157" s="180"/>
      <c r="J157" s="181"/>
      <c r="K157" s="38"/>
      <c r="L157" s="248"/>
      <c r="M157" s="29" t="str">
        <f t="shared" si="3"/>
        <v>CRITICO</v>
      </c>
    </row>
    <row r="158" ht="15.75" customHeight="1">
      <c r="B158" s="222"/>
      <c r="C158" s="149"/>
      <c r="D158" s="38"/>
      <c r="E158" s="52"/>
      <c r="F158" s="253"/>
      <c r="G158" s="43"/>
      <c r="H158" s="43"/>
      <c r="I158" s="180"/>
      <c r="J158" s="181"/>
      <c r="K158" s="38"/>
      <c r="L158" s="248"/>
      <c r="M158" s="29" t="str">
        <f t="shared" si="3"/>
        <v>CRITICO</v>
      </c>
    </row>
    <row r="159" ht="15.75" customHeight="1">
      <c r="B159" s="222"/>
      <c r="C159" s="149"/>
      <c r="D159" s="38"/>
      <c r="E159" s="52"/>
      <c r="F159" s="138"/>
      <c r="G159" s="43"/>
      <c r="H159" s="43"/>
      <c r="I159" s="180"/>
      <c r="J159" s="181"/>
      <c r="K159" s="38"/>
      <c r="L159" s="248"/>
      <c r="M159" s="29" t="str">
        <f t="shared" si="3"/>
        <v>CRITICO</v>
      </c>
    </row>
    <row r="160" ht="15.75" customHeight="1">
      <c r="B160" s="140"/>
      <c r="C160" s="149"/>
      <c r="D160" s="38"/>
      <c r="E160" s="52"/>
      <c r="F160" s="138"/>
      <c r="G160" s="43"/>
      <c r="H160" s="43"/>
      <c r="I160" s="180"/>
      <c r="J160" s="181"/>
      <c r="K160" s="38"/>
      <c r="L160" s="248"/>
      <c r="M160" s="29" t="str">
        <f t="shared" si="3"/>
        <v>CRITICO</v>
      </c>
    </row>
    <row r="161" ht="15.75" customHeight="1">
      <c r="B161" s="140"/>
      <c r="C161" s="149"/>
      <c r="D161" s="38"/>
      <c r="E161" s="52"/>
      <c r="F161" s="138"/>
      <c r="G161" s="43"/>
      <c r="H161" s="43"/>
      <c r="I161" s="180"/>
      <c r="J161" s="181"/>
      <c r="K161" s="38"/>
      <c r="L161" s="248"/>
      <c r="M161" s="29" t="str">
        <f t="shared" si="3"/>
        <v>CRITICO</v>
      </c>
    </row>
    <row r="162" ht="15.75" customHeight="1">
      <c r="C162" s="149"/>
      <c r="D162" s="38"/>
      <c r="E162" s="52"/>
      <c r="F162" s="138"/>
      <c r="G162" s="43"/>
      <c r="H162" s="43"/>
      <c r="I162" s="180"/>
      <c r="J162" s="181"/>
      <c r="K162" s="38"/>
      <c r="L162" s="248"/>
      <c r="M162" s="29" t="str">
        <f t="shared" si="3"/>
        <v>CRITICO</v>
      </c>
    </row>
    <row r="163" ht="15.75" customHeight="1"/>
    <row r="164" ht="15.75" customHeight="1"/>
    <row r="165" ht="15.75" customHeight="1"/>
    <row r="166" ht="15.75" customHeight="1">
      <c r="H166" s="256">
        <f>+IF(C166=0,0,MIN(MAX((G166-C166)/C166,0),1))</f>
        <v>0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>
      <c r="B176" s="222"/>
      <c r="C176" s="149"/>
      <c r="D176" s="38"/>
      <c r="E176" s="38"/>
      <c r="F176" s="253"/>
      <c r="G176" s="100"/>
      <c r="H176" s="100"/>
      <c r="I176" s="38"/>
      <c r="J176" s="25"/>
      <c r="K176" s="38"/>
      <c r="L176" s="54"/>
      <c r="M176" s="29" t="str">
        <f t="shared" ref="M176:M188" si="8">+IF(J176=0,"CRITICO",IF(J176&lt;0.5,"ALERTA","BIEN"))</f>
        <v>CRITICO</v>
      </c>
    </row>
    <row r="177" ht="15.75" customHeight="1">
      <c r="B177" s="140" t="s">
        <v>445</v>
      </c>
      <c r="C177" s="96" t="s">
        <v>20</v>
      </c>
      <c r="D177" s="38"/>
      <c r="E177" s="56">
        <v>2.0</v>
      </c>
      <c r="F177" s="117">
        <v>7.0</v>
      </c>
      <c r="G177" s="100"/>
      <c r="H177" s="100"/>
      <c r="I177" s="38"/>
      <c r="J177" s="25"/>
      <c r="K177" s="38"/>
      <c r="L177" s="54"/>
      <c r="M177" s="29" t="str">
        <f t="shared" si="8"/>
        <v>CRITICO</v>
      </c>
    </row>
    <row r="178" ht="15.75" customHeight="1">
      <c r="B178" s="140"/>
      <c r="C178" s="149"/>
      <c r="D178" s="38"/>
      <c r="E178" s="38"/>
      <c r="F178" s="138"/>
      <c r="G178" s="100"/>
      <c r="H178" s="100"/>
      <c r="I178" s="38"/>
      <c r="J178" s="25"/>
      <c r="K178" s="38"/>
      <c r="L178" s="54"/>
      <c r="M178" s="29" t="str">
        <f t="shared" si="8"/>
        <v>CRITICO</v>
      </c>
    </row>
    <row r="179" ht="15.75" customHeight="1">
      <c r="B179" s="140"/>
      <c r="C179" s="149"/>
      <c r="D179" s="38"/>
      <c r="E179" s="38"/>
      <c r="F179" s="138"/>
      <c r="G179" s="100"/>
      <c r="H179" s="100"/>
      <c r="I179" s="38"/>
      <c r="J179" s="25"/>
      <c r="K179" s="38"/>
      <c r="L179" s="54"/>
      <c r="M179" s="29" t="str">
        <f t="shared" si="8"/>
        <v>CRITICO</v>
      </c>
    </row>
    <row r="180" ht="15.75" customHeight="1">
      <c r="B180" s="140"/>
      <c r="C180" s="149"/>
      <c r="D180" s="38"/>
      <c r="E180" s="38"/>
      <c r="F180" s="138"/>
      <c r="G180" s="43"/>
      <c r="H180" s="43"/>
      <c r="I180" s="38"/>
      <c r="J180" s="25"/>
      <c r="K180" s="38"/>
      <c r="L180" s="54"/>
      <c r="M180" s="29" t="str">
        <f t="shared" si="8"/>
        <v>CRITICO</v>
      </c>
    </row>
    <row r="181" ht="15.75" customHeight="1">
      <c r="B181" s="140"/>
      <c r="C181" s="149"/>
      <c r="D181" s="38"/>
      <c r="E181" s="38"/>
      <c r="F181" s="138"/>
      <c r="G181" s="43"/>
      <c r="H181" s="43"/>
      <c r="I181" s="38"/>
      <c r="J181" s="25"/>
      <c r="K181" s="38"/>
      <c r="L181" s="54"/>
      <c r="M181" s="29" t="str">
        <f t="shared" si="8"/>
        <v>CRITICO</v>
      </c>
    </row>
    <row r="182" ht="15.75" customHeight="1">
      <c r="B182" s="140"/>
      <c r="C182" s="149"/>
      <c r="D182" s="38"/>
      <c r="E182" s="38"/>
      <c r="F182" s="138"/>
      <c r="G182" s="43"/>
      <c r="H182" s="43"/>
      <c r="I182" s="38"/>
      <c r="J182" s="25"/>
      <c r="K182" s="38"/>
      <c r="L182" s="54"/>
      <c r="M182" s="29" t="str">
        <f t="shared" si="8"/>
        <v>CRITICO</v>
      </c>
    </row>
    <row r="183" ht="15.75" customHeight="1">
      <c r="B183" s="140"/>
      <c r="C183" s="149"/>
      <c r="D183" s="38"/>
      <c r="E183" s="14"/>
      <c r="F183" s="138"/>
      <c r="G183" s="138"/>
      <c r="H183" s="138"/>
      <c r="I183" s="38"/>
      <c r="J183" s="25"/>
      <c r="K183" s="251"/>
      <c r="L183" s="54"/>
      <c r="M183" s="29" t="str">
        <f t="shared" si="8"/>
        <v>CRITICO</v>
      </c>
    </row>
    <row r="184" ht="15.75" customHeight="1">
      <c r="B184" s="222"/>
      <c r="C184" s="149"/>
      <c r="D184" s="38"/>
      <c r="E184" s="14"/>
      <c r="F184" s="138"/>
      <c r="G184" s="138"/>
      <c r="H184" s="117"/>
      <c r="I184" s="38"/>
      <c r="J184" s="25"/>
      <c r="K184" s="251"/>
      <c r="L184" s="54"/>
      <c r="M184" s="29" t="str">
        <f t="shared" si="8"/>
        <v>CRITICO</v>
      </c>
    </row>
    <row r="185" ht="15.75" customHeight="1">
      <c r="B185" s="222"/>
      <c r="C185" s="149"/>
      <c r="D185" s="38"/>
      <c r="E185" s="14"/>
      <c r="F185" s="235"/>
      <c r="G185" s="43"/>
      <c r="H185" s="43"/>
      <c r="I185" s="38"/>
      <c r="J185" s="25"/>
      <c r="K185" s="251"/>
      <c r="L185" s="54"/>
      <c r="M185" s="29" t="str">
        <f t="shared" si="8"/>
        <v>CRITICO</v>
      </c>
    </row>
    <row r="186" ht="15.75" customHeight="1">
      <c r="B186" s="222"/>
      <c r="C186" s="149"/>
      <c r="D186" s="38"/>
      <c r="E186" s="14"/>
      <c r="F186" s="235"/>
      <c r="G186" s="43"/>
      <c r="H186" s="43"/>
      <c r="I186" s="38"/>
      <c r="J186" s="25"/>
      <c r="K186" s="251"/>
      <c r="L186" s="54"/>
      <c r="M186" s="29" t="str">
        <f t="shared" si="8"/>
        <v>CRITICO</v>
      </c>
    </row>
    <row r="187" ht="15.75" customHeight="1">
      <c r="B187" s="222"/>
      <c r="C187" s="149"/>
      <c r="D187" s="38"/>
      <c r="E187" s="14"/>
      <c r="F187" s="235"/>
      <c r="G187" s="150"/>
      <c r="H187" s="150"/>
      <c r="I187" s="38"/>
      <c r="J187" s="25"/>
      <c r="K187" s="251"/>
      <c r="L187" s="54"/>
      <c r="M187" s="29" t="str">
        <f t="shared" si="8"/>
        <v>CRITICO</v>
      </c>
    </row>
    <row r="188" ht="15.75" customHeight="1">
      <c r="B188" s="140"/>
      <c r="C188" s="142"/>
      <c r="D188" s="38"/>
      <c r="E188" s="14"/>
      <c r="F188" s="138"/>
      <c r="G188" s="43"/>
      <c r="H188" s="43"/>
      <c r="I188" s="38"/>
      <c r="J188" s="25"/>
      <c r="K188" s="251"/>
      <c r="L188" s="54"/>
      <c r="M188" s="29" t="str">
        <f t="shared" si="8"/>
        <v>CRITICO</v>
      </c>
    </row>
    <row r="189" ht="15.75" customHeight="1"/>
    <row r="190" ht="15.75" customHeight="1"/>
    <row r="191" ht="15.75" customHeight="1">
      <c r="B191" s="222" t="s">
        <v>100</v>
      </c>
      <c r="C191" s="149" t="s">
        <v>457</v>
      </c>
    </row>
    <row r="192" ht="15.75" customHeight="1">
      <c r="B192" s="140" t="s">
        <v>100</v>
      </c>
      <c r="C192" s="149" t="s">
        <v>458</v>
      </c>
    </row>
    <row r="193" ht="15.75" customHeight="1">
      <c r="B193" s="140" t="s">
        <v>100</v>
      </c>
      <c r="C193" s="149" t="s">
        <v>460</v>
      </c>
    </row>
    <row r="194" ht="15.75" customHeight="1">
      <c r="B194" s="140" t="s">
        <v>100</v>
      </c>
      <c r="C194" s="149" t="s">
        <v>461</v>
      </c>
    </row>
    <row r="195" ht="15.75" customHeight="1">
      <c r="B195" s="140" t="s">
        <v>100</v>
      </c>
      <c r="C195" s="149" t="s">
        <v>462</v>
      </c>
    </row>
    <row r="196" ht="15.75" customHeight="1">
      <c r="B196" s="140" t="s">
        <v>100</v>
      </c>
      <c r="C196" s="149" t="s">
        <v>463</v>
      </c>
    </row>
    <row r="197" ht="15.75" customHeight="1">
      <c r="B197" s="140" t="s">
        <v>100</v>
      </c>
      <c r="C197" s="149" t="s">
        <v>464</v>
      </c>
    </row>
    <row r="198" ht="15.75" customHeight="1">
      <c r="B198" s="140" t="s">
        <v>100</v>
      </c>
      <c r="C198" s="149" t="s">
        <v>465</v>
      </c>
    </row>
    <row r="199" ht="15.75" customHeight="1">
      <c r="B199" s="222" t="s">
        <v>100</v>
      </c>
      <c r="C199" s="149" t="s">
        <v>466</v>
      </c>
    </row>
    <row r="200" ht="15.75" customHeight="1">
      <c r="B200" s="222" t="s">
        <v>100</v>
      </c>
      <c r="C200" s="149" t="s">
        <v>468</v>
      </c>
    </row>
    <row r="201" ht="15.75" customHeight="1">
      <c r="B201" s="222" t="s">
        <v>100</v>
      </c>
      <c r="C201" s="149" t="s">
        <v>469</v>
      </c>
    </row>
    <row r="202" ht="15.75" customHeight="1">
      <c r="B202" s="222" t="s">
        <v>374</v>
      </c>
      <c r="C202" s="149" t="s">
        <v>470</v>
      </c>
    </row>
    <row r="203" ht="15.75" customHeight="1">
      <c r="B203" s="140" t="s">
        <v>374</v>
      </c>
      <c r="C203" s="142" t="s">
        <v>471</v>
      </c>
    </row>
    <row r="204" ht="15.75" customHeight="1">
      <c r="B204" s="140" t="s">
        <v>436</v>
      </c>
      <c r="C204" s="257" t="s">
        <v>309</v>
      </c>
    </row>
    <row r="205" ht="15.75" customHeight="1">
      <c r="B205" s="140" t="s">
        <v>436</v>
      </c>
      <c r="C205" s="257" t="s">
        <v>300</v>
      </c>
    </row>
    <row r="206" ht="15.75" customHeight="1">
      <c r="B206" s="140" t="s">
        <v>436</v>
      </c>
      <c r="C206" s="257" t="s">
        <v>306</v>
      </c>
    </row>
    <row r="207" ht="15.75" customHeight="1">
      <c r="B207" s="140" t="s">
        <v>472</v>
      </c>
      <c r="C207" s="257" t="s">
        <v>473</v>
      </c>
    </row>
    <row r="208" ht="15.75" customHeight="1">
      <c r="B208" s="140" t="s">
        <v>436</v>
      </c>
      <c r="C208" s="257" t="s">
        <v>474</v>
      </c>
    </row>
    <row r="209" ht="15.75" customHeight="1">
      <c r="B209" s="140" t="s">
        <v>374</v>
      </c>
      <c r="C209" s="149" t="s">
        <v>475</v>
      </c>
    </row>
    <row r="210" ht="15.75" customHeight="1">
      <c r="B210" s="140" t="s">
        <v>374</v>
      </c>
      <c r="C210" s="149" t="s">
        <v>476</v>
      </c>
    </row>
    <row r="211" ht="15.75" customHeight="1">
      <c r="B211" s="140" t="s">
        <v>374</v>
      </c>
      <c r="C211" s="149" t="s">
        <v>477</v>
      </c>
    </row>
    <row r="212" ht="15.75" customHeight="1">
      <c r="B212" s="140" t="s">
        <v>374</v>
      </c>
      <c r="C212" s="149" t="s">
        <v>20</v>
      </c>
    </row>
    <row r="213" ht="15.75" customHeight="1">
      <c r="B213" s="140" t="s">
        <v>374</v>
      </c>
      <c r="C213" s="149" t="s">
        <v>478</v>
      </c>
    </row>
    <row r="214" ht="15.75" customHeight="1">
      <c r="B214" s="140" t="s">
        <v>374</v>
      </c>
      <c r="C214" s="149" t="s">
        <v>479</v>
      </c>
    </row>
    <row r="215" ht="15.75" customHeight="1">
      <c r="B215" s="140" t="s">
        <v>374</v>
      </c>
      <c r="C215" s="149" t="s">
        <v>480</v>
      </c>
    </row>
    <row r="216" ht="15.75" customHeight="1">
      <c r="B216" s="140" t="s">
        <v>100</v>
      </c>
      <c r="C216" s="149" t="s">
        <v>481</v>
      </c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B1:M1"/>
  </mergeCells>
  <conditionalFormatting sqref="M3:M53 M58 M176:M188">
    <cfRule type="expression" dxfId="0" priority="1" stopIfTrue="1">
      <formula>J3=0</formula>
    </cfRule>
  </conditionalFormatting>
  <conditionalFormatting sqref="M3:M53 M58 M176:M188">
    <cfRule type="expression" dxfId="1" priority="2" stopIfTrue="1">
      <formula>AND(J3&gt;0,J3&lt;0.5)</formula>
    </cfRule>
  </conditionalFormatting>
  <conditionalFormatting sqref="M3:M53 M58 M176:M188">
    <cfRule type="expression" dxfId="2" priority="3" stopIfTrue="1">
      <formula>+J3&gt;=0.5</formula>
    </cfRule>
  </conditionalFormatting>
  <conditionalFormatting sqref="M36">
    <cfRule type="expression" dxfId="0" priority="4" stopIfTrue="1">
      <formula>J36=0</formula>
    </cfRule>
  </conditionalFormatting>
  <conditionalFormatting sqref="M36">
    <cfRule type="expression" dxfId="1" priority="5" stopIfTrue="1">
      <formula>AND(J36&gt;0,J36&lt;0.5)</formula>
    </cfRule>
  </conditionalFormatting>
  <conditionalFormatting sqref="M36">
    <cfRule type="expression" dxfId="2" priority="6" stopIfTrue="1">
      <formula>+J36&gt;=0.5</formula>
    </cfRule>
  </conditionalFormatting>
  <conditionalFormatting sqref="M37:M42">
    <cfRule type="expression" dxfId="0" priority="7" stopIfTrue="1">
      <formula>J37=0</formula>
    </cfRule>
  </conditionalFormatting>
  <conditionalFormatting sqref="M37:M42">
    <cfRule type="expression" dxfId="1" priority="8" stopIfTrue="1">
      <formula>AND(J37&gt;0,J37&lt;0.5)</formula>
    </cfRule>
  </conditionalFormatting>
  <conditionalFormatting sqref="M37:M42">
    <cfRule type="expression" dxfId="2" priority="9" stopIfTrue="1">
      <formula>+J37&gt;=0.5</formula>
    </cfRule>
  </conditionalFormatting>
  <conditionalFormatting sqref="M43:M53 M58">
    <cfRule type="expression" dxfId="0" priority="10" stopIfTrue="1">
      <formula>J43=0</formula>
    </cfRule>
  </conditionalFormatting>
  <conditionalFormatting sqref="M43:M53 M58">
    <cfRule type="expression" dxfId="1" priority="11" stopIfTrue="1">
      <formula>AND(J43&gt;0,J43&lt;0.5)</formula>
    </cfRule>
  </conditionalFormatting>
  <conditionalFormatting sqref="M43:M53 M58">
    <cfRule type="expression" dxfId="2" priority="12" stopIfTrue="1">
      <formula>+J43&gt;=0.5</formula>
    </cfRule>
  </conditionalFormatting>
  <conditionalFormatting sqref="M44">
    <cfRule type="expression" dxfId="0" priority="13" stopIfTrue="1">
      <formula>J44=0</formula>
    </cfRule>
  </conditionalFormatting>
  <conditionalFormatting sqref="M44">
    <cfRule type="expression" dxfId="1" priority="14" stopIfTrue="1">
      <formula>AND(J44&gt;0,J44&lt;0.5)</formula>
    </cfRule>
  </conditionalFormatting>
  <conditionalFormatting sqref="M44">
    <cfRule type="expression" dxfId="2" priority="15" stopIfTrue="1">
      <formula>+J44&gt;=0.5</formula>
    </cfRule>
  </conditionalFormatting>
  <conditionalFormatting sqref="M45">
    <cfRule type="expression" dxfId="0" priority="16" stopIfTrue="1">
      <formula>J45=0</formula>
    </cfRule>
  </conditionalFormatting>
  <conditionalFormatting sqref="M45">
    <cfRule type="expression" dxfId="1" priority="17" stopIfTrue="1">
      <formula>AND(J45&gt;0,J45&lt;0.5)</formula>
    </cfRule>
  </conditionalFormatting>
  <conditionalFormatting sqref="M45">
    <cfRule type="expression" dxfId="2" priority="18" stopIfTrue="1">
      <formula>+J45&gt;=0.5</formula>
    </cfRule>
  </conditionalFormatting>
  <conditionalFormatting sqref="M46:M50 M58">
    <cfRule type="expression" dxfId="0" priority="19" stopIfTrue="1">
      <formula>J46=0</formula>
    </cfRule>
  </conditionalFormatting>
  <conditionalFormatting sqref="M46:M50 M58">
    <cfRule type="expression" dxfId="1" priority="20" stopIfTrue="1">
      <formula>AND(J46&gt;0,J46&lt;0.5)</formula>
    </cfRule>
  </conditionalFormatting>
  <conditionalFormatting sqref="M46:M50 M58">
    <cfRule type="expression" dxfId="2" priority="21" stopIfTrue="1">
      <formula>+J46&gt;=0.5</formula>
    </cfRule>
  </conditionalFormatting>
  <conditionalFormatting sqref="M51:M52">
    <cfRule type="expression" dxfId="0" priority="22" stopIfTrue="1">
      <formula>J51=0</formula>
    </cfRule>
  </conditionalFormatting>
  <conditionalFormatting sqref="M51:M52">
    <cfRule type="expression" dxfId="1" priority="23" stopIfTrue="1">
      <formula>AND(J51&gt;0,J51&lt;0.5)</formula>
    </cfRule>
  </conditionalFormatting>
  <conditionalFormatting sqref="M51:M52">
    <cfRule type="expression" dxfId="2" priority="24" stopIfTrue="1">
      <formula>+J51&gt;=0.5</formula>
    </cfRule>
  </conditionalFormatting>
  <conditionalFormatting sqref="M53:M54">
    <cfRule type="expression" dxfId="0" priority="25" stopIfTrue="1">
      <formula>J53=0</formula>
    </cfRule>
  </conditionalFormatting>
  <conditionalFormatting sqref="M53:M54">
    <cfRule type="expression" dxfId="1" priority="26" stopIfTrue="1">
      <formula>AND(J53&gt;0,J53&lt;0.5)</formula>
    </cfRule>
  </conditionalFormatting>
  <conditionalFormatting sqref="M53:M54">
    <cfRule type="expression" dxfId="2" priority="27" stopIfTrue="1">
      <formula>+J53&gt;=0.5</formula>
    </cfRule>
  </conditionalFormatting>
  <conditionalFormatting sqref="M55:M61">
    <cfRule type="expression" dxfId="0" priority="28" stopIfTrue="1">
      <formula>J55=0</formula>
    </cfRule>
  </conditionalFormatting>
  <conditionalFormatting sqref="M55:M61">
    <cfRule type="expression" dxfId="1" priority="29" stopIfTrue="1">
      <formula>AND(J55&gt;0,J55&lt;0.5)</formula>
    </cfRule>
  </conditionalFormatting>
  <conditionalFormatting sqref="M55:M61">
    <cfRule type="expression" dxfId="2" priority="30" stopIfTrue="1">
      <formula>+J55&gt;=0.5</formula>
    </cfRule>
  </conditionalFormatting>
  <conditionalFormatting sqref="M62:M63">
    <cfRule type="expression" dxfId="0" priority="31" stopIfTrue="1">
      <formula>J62=0</formula>
    </cfRule>
  </conditionalFormatting>
  <conditionalFormatting sqref="M62:M63">
    <cfRule type="expression" dxfId="1" priority="32" stopIfTrue="1">
      <formula>AND(J62&gt;0,J62&lt;0.5)</formula>
    </cfRule>
  </conditionalFormatting>
  <conditionalFormatting sqref="M62:M63">
    <cfRule type="expression" dxfId="2" priority="33" stopIfTrue="1">
      <formula>+J62&gt;=0.5</formula>
    </cfRule>
  </conditionalFormatting>
  <conditionalFormatting sqref="M64:M75">
    <cfRule type="expression" dxfId="0" priority="34" stopIfTrue="1">
      <formula>J64=0</formula>
    </cfRule>
  </conditionalFormatting>
  <conditionalFormatting sqref="M64:M75">
    <cfRule type="expression" dxfId="1" priority="35" stopIfTrue="1">
      <formula>AND(J64&gt;0,J64&lt;0.5)</formula>
    </cfRule>
  </conditionalFormatting>
  <conditionalFormatting sqref="M64:M75">
    <cfRule type="expression" dxfId="2" priority="36" stopIfTrue="1">
      <formula>+J64&gt;=0.5</formula>
    </cfRule>
  </conditionalFormatting>
  <conditionalFormatting sqref="M76:M82">
    <cfRule type="expression" dxfId="0" priority="37" stopIfTrue="1">
      <formula>J76=0</formula>
    </cfRule>
  </conditionalFormatting>
  <conditionalFormatting sqref="M76:M82">
    <cfRule type="expression" dxfId="1" priority="38" stopIfTrue="1">
      <formula>AND(J76&gt;0,J76&lt;0.5)</formula>
    </cfRule>
  </conditionalFormatting>
  <conditionalFormatting sqref="M76:M82">
    <cfRule type="expression" dxfId="2" priority="39" stopIfTrue="1">
      <formula>+J76&gt;=0.5</formula>
    </cfRule>
  </conditionalFormatting>
  <conditionalFormatting sqref="M83:M84">
    <cfRule type="expression" dxfId="0" priority="40" stopIfTrue="1">
      <formula>J83=0</formula>
    </cfRule>
  </conditionalFormatting>
  <conditionalFormatting sqref="M83:M84">
    <cfRule type="expression" dxfId="1" priority="41" stopIfTrue="1">
      <formula>AND(J83&gt;0,J83&lt;0.5)</formula>
    </cfRule>
  </conditionalFormatting>
  <conditionalFormatting sqref="M83:M84">
    <cfRule type="expression" dxfId="2" priority="42" stopIfTrue="1">
      <formula>+J83&gt;=0.5</formula>
    </cfRule>
  </conditionalFormatting>
  <conditionalFormatting sqref="M85:M87">
    <cfRule type="expression" dxfId="0" priority="43" stopIfTrue="1">
      <formula>J85=0</formula>
    </cfRule>
  </conditionalFormatting>
  <conditionalFormatting sqref="M85:M87">
    <cfRule type="expression" dxfId="1" priority="44" stopIfTrue="1">
      <formula>AND(J85&gt;0,J85&lt;0.5)</formula>
    </cfRule>
  </conditionalFormatting>
  <conditionalFormatting sqref="M85:M87">
    <cfRule type="expression" dxfId="2" priority="45" stopIfTrue="1">
      <formula>+J85&gt;=0.5</formula>
    </cfRule>
  </conditionalFormatting>
  <conditionalFormatting sqref="M88:M106">
    <cfRule type="expression" dxfId="0" priority="46" stopIfTrue="1">
      <formula>J88=0</formula>
    </cfRule>
  </conditionalFormatting>
  <conditionalFormatting sqref="M88:M106">
    <cfRule type="expression" dxfId="1" priority="47" stopIfTrue="1">
      <formula>AND(J88&gt;0,J88&lt;0.5)</formula>
    </cfRule>
  </conditionalFormatting>
  <conditionalFormatting sqref="M88:M106">
    <cfRule type="expression" dxfId="2" priority="48" stopIfTrue="1">
      <formula>+J88&gt;=0.5</formula>
    </cfRule>
  </conditionalFormatting>
  <conditionalFormatting sqref="M107">
    <cfRule type="expression" dxfId="0" priority="49" stopIfTrue="1">
      <formula>J107=0</formula>
    </cfRule>
  </conditionalFormatting>
  <conditionalFormatting sqref="M107">
    <cfRule type="expression" dxfId="1" priority="50" stopIfTrue="1">
      <formula>AND(J107&gt;0,J107&lt;0.5)</formula>
    </cfRule>
  </conditionalFormatting>
  <conditionalFormatting sqref="M107">
    <cfRule type="expression" dxfId="2" priority="51" stopIfTrue="1">
      <formula>+J107&gt;=0.5</formula>
    </cfRule>
  </conditionalFormatting>
  <conditionalFormatting sqref="M108">
    <cfRule type="expression" dxfId="0" priority="52" stopIfTrue="1">
      <formula>J108=0</formula>
    </cfRule>
  </conditionalFormatting>
  <conditionalFormatting sqref="M108">
    <cfRule type="expression" dxfId="1" priority="53" stopIfTrue="1">
      <formula>AND(J108&gt;0,J108&lt;0.5)</formula>
    </cfRule>
  </conditionalFormatting>
  <conditionalFormatting sqref="M108">
    <cfRule type="expression" dxfId="2" priority="54" stopIfTrue="1">
      <formula>+J108&gt;=0.5</formula>
    </cfRule>
  </conditionalFormatting>
  <conditionalFormatting sqref="M109:M120">
    <cfRule type="expression" dxfId="0" priority="55" stopIfTrue="1">
      <formula>J109=0</formula>
    </cfRule>
  </conditionalFormatting>
  <conditionalFormatting sqref="M109:M120">
    <cfRule type="expression" dxfId="1" priority="56" stopIfTrue="1">
      <formula>AND(J109&gt;0,J109&lt;0.5)</formula>
    </cfRule>
  </conditionalFormatting>
  <conditionalFormatting sqref="M109:M120">
    <cfRule type="expression" dxfId="2" priority="57" stopIfTrue="1">
      <formula>+J109&gt;=0.5</formula>
    </cfRule>
  </conditionalFormatting>
  <conditionalFormatting sqref="M121">
    <cfRule type="expression" dxfId="0" priority="58" stopIfTrue="1">
      <formula>J121=0</formula>
    </cfRule>
  </conditionalFormatting>
  <conditionalFormatting sqref="M121">
    <cfRule type="expression" dxfId="1" priority="59" stopIfTrue="1">
      <formula>AND(J121&gt;0,J121&lt;0.5)</formula>
    </cfRule>
  </conditionalFormatting>
  <conditionalFormatting sqref="M121">
    <cfRule type="expression" dxfId="2" priority="60" stopIfTrue="1">
      <formula>+J121&gt;=0.5</formula>
    </cfRule>
  </conditionalFormatting>
  <conditionalFormatting sqref="M122">
    <cfRule type="expression" dxfId="0" priority="61" stopIfTrue="1">
      <formula>J122=0</formula>
    </cfRule>
  </conditionalFormatting>
  <conditionalFormatting sqref="M122">
    <cfRule type="expression" dxfId="1" priority="62" stopIfTrue="1">
      <formula>AND(J122&gt;0,J122&lt;0.5)</formula>
    </cfRule>
  </conditionalFormatting>
  <conditionalFormatting sqref="M122">
    <cfRule type="expression" dxfId="2" priority="63" stopIfTrue="1">
      <formula>+J122&gt;=0.5</formula>
    </cfRule>
  </conditionalFormatting>
  <conditionalFormatting sqref="M123">
    <cfRule type="expression" dxfId="0" priority="64" stopIfTrue="1">
      <formula>J123=0</formula>
    </cfRule>
  </conditionalFormatting>
  <conditionalFormatting sqref="M123">
    <cfRule type="expression" dxfId="1" priority="65" stopIfTrue="1">
      <formula>AND(J123&gt;0,J123&lt;0.5)</formula>
    </cfRule>
  </conditionalFormatting>
  <conditionalFormatting sqref="M123">
    <cfRule type="expression" dxfId="2" priority="66" stopIfTrue="1">
      <formula>+J123&gt;=0.5</formula>
    </cfRule>
  </conditionalFormatting>
  <conditionalFormatting sqref="M124">
    <cfRule type="expression" dxfId="0" priority="67" stopIfTrue="1">
      <formula>J124=0</formula>
    </cfRule>
  </conditionalFormatting>
  <conditionalFormatting sqref="M124">
    <cfRule type="expression" dxfId="1" priority="68" stopIfTrue="1">
      <formula>AND(J124&gt;0,J124&lt;0.5)</formula>
    </cfRule>
  </conditionalFormatting>
  <conditionalFormatting sqref="M124">
    <cfRule type="expression" dxfId="2" priority="69" stopIfTrue="1">
      <formula>+J124&gt;=0.5</formula>
    </cfRule>
  </conditionalFormatting>
  <conditionalFormatting sqref="M125:M162">
    <cfRule type="expression" dxfId="0" priority="70" stopIfTrue="1">
      <formula>J125=0</formula>
    </cfRule>
  </conditionalFormatting>
  <conditionalFormatting sqref="M125:M162">
    <cfRule type="expression" dxfId="1" priority="71" stopIfTrue="1">
      <formula>AND(J125&gt;0,J125&lt;0.5)</formula>
    </cfRule>
  </conditionalFormatting>
  <conditionalFormatting sqref="M125:M162">
    <cfRule type="expression" dxfId="2" priority="72" stopIfTrue="1">
      <formula>+J125&gt;=0.5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9.43"/>
    <col customWidth="1" min="3" max="3" width="52.57"/>
    <col customWidth="1" min="4" max="10" width="10.71"/>
    <col customWidth="1" min="11" max="11" width="31.71"/>
    <col customWidth="1" min="12" max="26" width="10.71"/>
  </cols>
  <sheetData>
    <row r="1">
      <c r="B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>
      <c r="B2" s="5" t="s">
        <v>4</v>
      </c>
      <c r="C2" s="5" t="s">
        <v>5</v>
      </c>
      <c r="D2" s="5" t="s">
        <v>6</v>
      </c>
      <c r="E2" s="6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93" t="s">
        <v>167</v>
      </c>
      <c r="L2" s="7" t="s">
        <v>14</v>
      </c>
      <c r="M2" s="9" t="s">
        <v>16</v>
      </c>
    </row>
    <row r="3">
      <c r="B3" s="94" t="s">
        <v>169</v>
      </c>
      <c r="C3" s="96" t="s">
        <v>171</v>
      </c>
      <c r="D3" s="56" t="s">
        <v>116</v>
      </c>
      <c r="E3" s="56">
        <v>5.0</v>
      </c>
      <c r="F3" s="98">
        <v>12.0</v>
      </c>
      <c r="G3" s="100"/>
      <c r="H3" s="101"/>
      <c r="I3" s="38">
        <f t="shared" ref="I3:I162" si="1">+F3+G3-H3</f>
        <v>12</v>
      </c>
      <c r="J3" s="25">
        <f t="shared" ref="J3:J162" si="2">+IF(E3=0,0,MIN(MAX((I3-E3)/E3,0),1))</f>
        <v>1</v>
      </c>
      <c r="K3" s="106">
        <v>25000.0</v>
      </c>
      <c r="L3" s="54" t="s">
        <v>177</v>
      </c>
      <c r="M3" s="29" t="str">
        <f t="shared" ref="M3:M162" si="3">+IF(J3=0,"CRITICO",IF(J3&lt;0.5,"ALERTA","BIEN"))</f>
        <v>BIEN</v>
      </c>
    </row>
    <row r="4">
      <c r="B4" s="115" t="s">
        <v>169</v>
      </c>
      <c r="C4" s="96" t="s">
        <v>179</v>
      </c>
      <c r="D4" s="56" t="s">
        <v>116</v>
      </c>
      <c r="E4" s="56">
        <v>4.0</v>
      </c>
      <c r="F4" s="117">
        <v>72.0</v>
      </c>
      <c r="G4" s="100"/>
      <c r="H4" s="56"/>
      <c r="I4" s="38">
        <f t="shared" si="1"/>
        <v>72</v>
      </c>
      <c r="J4" s="25">
        <f t="shared" si="2"/>
        <v>1</v>
      </c>
      <c r="K4" s="106">
        <v>85536.0</v>
      </c>
      <c r="L4" s="54" t="s">
        <v>177</v>
      </c>
      <c r="M4" s="29" t="str">
        <f t="shared" si="3"/>
        <v>BIEN</v>
      </c>
    </row>
    <row r="5">
      <c r="B5" s="115" t="s">
        <v>182</v>
      </c>
      <c r="C5" s="96" t="s">
        <v>119</v>
      </c>
      <c r="D5" s="56" t="s">
        <v>116</v>
      </c>
      <c r="E5" s="56">
        <v>4.0</v>
      </c>
      <c r="F5" s="117">
        <v>12.0</v>
      </c>
      <c r="G5" s="100"/>
      <c r="H5" s="100"/>
      <c r="I5" s="38">
        <f t="shared" si="1"/>
        <v>12</v>
      </c>
      <c r="J5" s="25">
        <f t="shared" si="2"/>
        <v>1</v>
      </c>
      <c r="K5" s="124">
        <v>15700.0</v>
      </c>
      <c r="L5" s="54" t="s">
        <v>177</v>
      </c>
      <c r="M5" s="29" t="str">
        <f t="shared" si="3"/>
        <v>BIEN</v>
      </c>
    </row>
    <row r="6">
      <c r="B6" s="115" t="s">
        <v>182</v>
      </c>
      <c r="C6" s="96" t="s">
        <v>184</v>
      </c>
      <c r="D6" s="56" t="s">
        <v>116</v>
      </c>
      <c r="E6" s="56">
        <v>2.0</v>
      </c>
      <c r="F6" s="117">
        <v>5.0</v>
      </c>
      <c r="G6" s="100"/>
      <c r="H6" s="100"/>
      <c r="I6" s="38">
        <f t="shared" si="1"/>
        <v>5</v>
      </c>
      <c r="J6" s="25">
        <f t="shared" si="2"/>
        <v>1</v>
      </c>
      <c r="K6" s="126">
        <v>94724.0</v>
      </c>
      <c r="L6" s="54" t="s">
        <v>186</v>
      </c>
      <c r="M6" s="29" t="str">
        <f t="shared" si="3"/>
        <v>BIEN</v>
      </c>
    </row>
    <row r="7">
      <c r="B7" s="115" t="s">
        <v>188</v>
      </c>
      <c r="C7" s="96" t="s">
        <v>190</v>
      </c>
      <c r="D7" s="56" t="s">
        <v>116</v>
      </c>
      <c r="E7" s="56">
        <v>2.0</v>
      </c>
      <c r="F7" s="117">
        <v>6.0</v>
      </c>
      <c r="G7" s="43"/>
      <c r="H7" s="43"/>
      <c r="I7" s="38">
        <f t="shared" si="1"/>
        <v>6</v>
      </c>
      <c r="J7" s="25">
        <f t="shared" si="2"/>
        <v>1</v>
      </c>
      <c r="K7" s="106">
        <v>127791.0</v>
      </c>
      <c r="L7" s="54" t="s">
        <v>186</v>
      </c>
      <c r="M7" s="29" t="str">
        <f t="shared" si="3"/>
        <v>BIEN</v>
      </c>
    </row>
    <row r="8">
      <c r="B8" s="115" t="s">
        <v>191</v>
      </c>
      <c r="C8" s="96" t="s">
        <v>192</v>
      </c>
      <c r="D8" s="38"/>
      <c r="E8" s="56">
        <v>1.0</v>
      </c>
      <c r="F8" s="117">
        <v>1.0</v>
      </c>
      <c r="G8" s="43"/>
      <c r="H8" s="56"/>
      <c r="I8" s="38">
        <f t="shared" si="1"/>
        <v>1</v>
      </c>
      <c r="J8" s="25">
        <f t="shared" si="2"/>
        <v>0</v>
      </c>
      <c r="K8" s="106">
        <v>457487.0</v>
      </c>
      <c r="L8" s="54" t="s">
        <v>186</v>
      </c>
      <c r="M8" s="29" t="str">
        <f t="shared" si="3"/>
        <v>CRITICO</v>
      </c>
    </row>
    <row r="9">
      <c r="B9" s="115" t="s">
        <v>188</v>
      </c>
      <c r="C9" s="96" t="s">
        <v>196</v>
      </c>
      <c r="D9" s="56" t="s">
        <v>116</v>
      </c>
      <c r="E9" s="56">
        <v>2.0</v>
      </c>
      <c r="F9" s="117">
        <v>10.0</v>
      </c>
      <c r="G9" s="43"/>
      <c r="H9" s="43"/>
      <c r="I9" s="38">
        <f t="shared" si="1"/>
        <v>10</v>
      </c>
      <c r="J9" s="25">
        <f t="shared" si="2"/>
        <v>1</v>
      </c>
      <c r="K9" s="136">
        <v>70210.0</v>
      </c>
      <c r="L9" s="54" t="s">
        <v>186</v>
      </c>
      <c r="M9" s="29" t="str">
        <f t="shared" si="3"/>
        <v>BIEN</v>
      </c>
    </row>
    <row r="10">
      <c r="B10" s="115" t="s">
        <v>169</v>
      </c>
      <c r="C10" s="96" t="s">
        <v>128</v>
      </c>
      <c r="D10" s="56" t="s">
        <v>116</v>
      </c>
      <c r="E10" s="15">
        <v>4.0</v>
      </c>
      <c r="F10" s="117">
        <v>36.0</v>
      </c>
      <c r="G10" s="138"/>
      <c r="H10" s="138"/>
      <c r="I10" s="38">
        <f t="shared" si="1"/>
        <v>36</v>
      </c>
      <c r="J10" s="25">
        <f t="shared" si="2"/>
        <v>1</v>
      </c>
      <c r="K10" s="106">
        <v>91071.0</v>
      </c>
      <c r="L10" s="54" t="s">
        <v>177</v>
      </c>
      <c r="M10" s="29" t="str">
        <f t="shared" si="3"/>
        <v>BIEN</v>
      </c>
    </row>
    <row r="11">
      <c r="B11" s="94" t="s">
        <v>204</v>
      </c>
      <c r="C11" s="96" t="s">
        <v>205</v>
      </c>
      <c r="D11" s="56" t="s">
        <v>116</v>
      </c>
      <c r="E11" s="15">
        <v>2.0</v>
      </c>
      <c r="F11" s="117">
        <v>10.0</v>
      </c>
      <c r="G11" s="138"/>
      <c r="H11" s="117"/>
      <c r="I11" s="38">
        <f t="shared" si="1"/>
        <v>10</v>
      </c>
      <c r="J11" s="25">
        <f t="shared" si="2"/>
        <v>1</v>
      </c>
      <c r="K11" s="136">
        <v>14150.0</v>
      </c>
      <c r="L11" s="54" t="s">
        <v>177</v>
      </c>
      <c r="M11" s="29" t="str">
        <f t="shared" si="3"/>
        <v>BIEN</v>
      </c>
    </row>
    <row r="12">
      <c r="B12" s="94" t="s">
        <v>207</v>
      </c>
      <c r="C12" s="96" t="s">
        <v>208</v>
      </c>
      <c r="D12" s="56" t="s">
        <v>24</v>
      </c>
      <c r="E12" s="15">
        <v>5.0</v>
      </c>
      <c r="F12" s="146">
        <v>20.0</v>
      </c>
      <c r="G12" s="43"/>
      <c r="H12" s="43"/>
      <c r="I12" s="38">
        <f t="shared" si="1"/>
        <v>20</v>
      </c>
      <c r="J12" s="25">
        <f t="shared" si="2"/>
        <v>1</v>
      </c>
      <c r="K12" s="106">
        <v>3539.0</v>
      </c>
      <c r="L12" s="147" t="s">
        <v>177</v>
      </c>
      <c r="M12" s="29" t="str">
        <f t="shared" si="3"/>
        <v>BIEN</v>
      </c>
    </row>
    <row r="13">
      <c r="B13" s="94" t="s">
        <v>207</v>
      </c>
      <c r="C13" s="96" t="s">
        <v>212</v>
      </c>
      <c r="D13" s="56" t="s">
        <v>24</v>
      </c>
      <c r="E13" s="15">
        <v>5.0</v>
      </c>
      <c r="F13" s="146">
        <v>10.0</v>
      </c>
      <c r="G13" s="43"/>
      <c r="H13" s="43"/>
      <c r="I13" s="38">
        <f t="shared" si="1"/>
        <v>10</v>
      </c>
      <c r="J13" s="25">
        <f t="shared" si="2"/>
        <v>1</v>
      </c>
      <c r="K13" s="136">
        <v>24480.0</v>
      </c>
      <c r="L13" s="54" t="s">
        <v>214</v>
      </c>
      <c r="M13" s="29" t="str">
        <f t="shared" si="3"/>
        <v>BIEN</v>
      </c>
    </row>
    <row r="14">
      <c r="B14" s="94" t="s">
        <v>207</v>
      </c>
      <c r="C14" s="96" t="s">
        <v>217</v>
      </c>
      <c r="D14" s="56" t="s">
        <v>24</v>
      </c>
      <c r="E14" s="15">
        <v>5.0</v>
      </c>
      <c r="F14" s="146">
        <v>20.0</v>
      </c>
      <c r="G14" s="150"/>
      <c r="H14" s="150"/>
      <c r="I14" s="38">
        <f t="shared" si="1"/>
        <v>20</v>
      </c>
      <c r="J14" s="25">
        <f t="shared" si="2"/>
        <v>1</v>
      </c>
      <c r="K14" s="106">
        <v>6147.0</v>
      </c>
      <c r="L14" s="54" t="s">
        <v>177</v>
      </c>
      <c r="M14" s="29" t="str">
        <f t="shared" si="3"/>
        <v>BIEN</v>
      </c>
    </row>
    <row r="15">
      <c r="B15" s="94" t="s">
        <v>207</v>
      </c>
      <c r="C15" s="152" t="s">
        <v>219</v>
      </c>
      <c r="D15" s="56" t="s">
        <v>24</v>
      </c>
      <c r="E15" s="15">
        <v>1.0</v>
      </c>
      <c r="F15" s="117">
        <v>5.0</v>
      </c>
      <c r="G15" s="43"/>
      <c r="H15" s="43"/>
      <c r="I15" s="38">
        <f t="shared" si="1"/>
        <v>5</v>
      </c>
      <c r="J15" s="25">
        <f t="shared" si="2"/>
        <v>1</v>
      </c>
      <c r="K15" s="106">
        <v>17614.0</v>
      </c>
      <c r="L15" s="54" t="s">
        <v>177</v>
      </c>
      <c r="M15" s="29" t="str">
        <f t="shared" si="3"/>
        <v>BIEN</v>
      </c>
    </row>
    <row r="16">
      <c r="B16" s="94" t="s">
        <v>207</v>
      </c>
      <c r="C16" s="96" t="s">
        <v>223</v>
      </c>
      <c r="D16" s="56" t="s">
        <v>24</v>
      </c>
      <c r="E16" s="15">
        <v>5.0</v>
      </c>
      <c r="F16" s="117">
        <v>10.0</v>
      </c>
      <c r="G16" s="117"/>
      <c r="H16" s="117"/>
      <c r="I16" s="38">
        <f t="shared" si="1"/>
        <v>10</v>
      </c>
      <c r="J16" s="25">
        <f t="shared" si="2"/>
        <v>1</v>
      </c>
      <c r="K16" s="106">
        <v>18286.0</v>
      </c>
      <c r="L16" s="54" t="s">
        <v>177</v>
      </c>
      <c r="M16" s="29" t="str">
        <f t="shared" si="3"/>
        <v>BIEN</v>
      </c>
    </row>
    <row r="17">
      <c r="B17" s="94" t="s">
        <v>207</v>
      </c>
      <c r="C17" s="96" t="s">
        <v>226</v>
      </c>
      <c r="D17" s="56" t="s">
        <v>24</v>
      </c>
      <c r="E17" s="15">
        <v>2.0</v>
      </c>
      <c r="F17" s="117">
        <v>5.0</v>
      </c>
      <c r="G17" s="117"/>
      <c r="H17" s="117"/>
      <c r="I17" s="38">
        <f t="shared" si="1"/>
        <v>5</v>
      </c>
      <c r="J17" s="25">
        <f t="shared" si="2"/>
        <v>1</v>
      </c>
      <c r="K17" s="106">
        <v>47464.0</v>
      </c>
      <c r="L17" s="54" t="s">
        <v>177</v>
      </c>
      <c r="M17" s="29" t="str">
        <f t="shared" si="3"/>
        <v>BIEN</v>
      </c>
    </row>
    <row r="18">
      <c r="B18" s="94" t="s">
        <v>207</v>
      </c>
      <c r="C18" s="96" t="s">
        <v>230</v>
      </c>
      <c r="D18" s="56" t="s">
        <v>24</v>
      </c>
      <c r="E18" s="15">
        <v>2.0</v>
      </c>
      <c r="F18" s="117">
        <v>3.0</v>
      </c>
      <c r="G18" s="138"/>
      <c r="H18" s="117"/>
      <c r="I18" s="38">
        <f t="shared" si="1"/>
        <v>3</v>
      </c>
      <c r="J18" s="25">
        <f t="shared" si="2"/>
        <v>0.5</v>
      </c>
      <c r="K18" s="106">
        <v>80586.0</v>
      </c>
      <c r="L18" s="54" t="s">
        <v>177</v>
      </c>
      <c r="M18" s="29" t="str">
        <f t="shared" si="3"/>
        <v>BIEN</v>
      </c>
    </row>
    <row r="19">
      <c r="B19" s="115" t="s">
        <v>234</v>
      </c>
      <c r="C19" s="96" t="s">
        <v>235</v>
      </c>
      <c r="D19" s="56" t="s">
        <v>24</v>
      </c>
      <c r="E19" s="15">
        <v>1.0</v>
      </c>
      <c r="F19" s="117">
        <v>2.0</v>
      </c>
      <c r="G19" s="43"/>
      <c r="H19" s="159"/>
      <c r="I19" s="38">
        <f t="shared" si="1"/>
        <v>2</v>
      </c>
      <c r="J19" s="25">
        <f t="shared" si="2"/>
        <v>1</v>
      </c>
      <c r="K19" s="106">
        <v>53431.0</v>
      </c>
      <c r="L19" s="54" t="s">
        <v>177</v>
      </c>
      <c r="M19" s="29" t="str">
        <f t="shared" si="3"/>
        <v>BIEN</v>
      </c>
    </row>
    <row r="20">
      <c r="B20" s="115" t="s">
        <v>240</v>
      </c>
      <c r="C20" s="96" t="s">
        <v>242</v>
      </c>
      <c r="D20" s="56" t="s">
        <v>243</v>
      </c>
      <c r="E20" s="14"/>
      <c r="F20" s="138"/>
      <c r="G20" s="138"/>
      <c r="H20" s="117"/>
      <c r="I20" s="38">
        <f t="shared" si="1"/>
        <v>0</v>
      </c>
      <c r="J20" s="25">
        <f t="shared" si="2"/>
        <v>0</v>
      </c>
      <c r="K20" s="160">
        <v>19028.0</v>
      </c>
      <c r="L20" s="54" t="s">
        <v>177</v>
      </c>
      <c r="M20" s="29" t="str">
        <f t="shared" si="3"/>
        <v>CRITICO</v>
      </c>
    </row>
    <row r="21" ht="15.75" customHeight="1">
      <c r="B21" s="115" t="s">
        <v>207</v>
      </c>
      <c r="C21" s="96" t="s">
        <v>247</v>
      </c>
      <c r="D21" s="38"/>
      <c r="E21" s="14"/>
      <c r="F21" s="138"/>
      <c r="G21" s="43"/>
      <c r="H21" s="43"/>
      <c r="I21" s="38">
        <f t="shared" si="1"/>
        <v>0</v>
      </c>
      <c r="J21" s="25">
        <f t="shared" si="2"/>
        <v>0</v>
      </c>
      <c r="K21" s="160">
        <v>5000.0</v>
      </c>
      <c r="L21" s="54" t="s">
        <v>177</v>
      </c>
      <c r="M21" s="29" t="str">
        <f t="shared" si="3"/>
        <v>CRITICO</v>
      </c>
    </row>
    <row r="22" ht="15.75" customHeight="1">
      <c r="B22" s="115" t="s">
        <v>207</v>
      </c>
      <c r="C22" s="96" t="s">
        <v>249</v>
      </c>
      <c r="D22" s="56" t="s">
        <v>24</v>
      </c>
      <c r="E22" s="15">
        <v>0.0</v>
      </c>
      <c r="F22" s="117">
        <v>0.0</v>
      </c>
      <c r="G22" s="43"/>
      <c r="H22" s="43"/>
      <c r="I22" s="38">
        <f t="shared" si="1"/>
        <v>0</v>
      </c>
      <c r="J22" s="25">
        <f t="shared" si="2"/>
        <v>0</v>
      </c>
      <c r="K22" s="160">
        <v>8900.0</v>
      </c>
      <c r="L22" s="54" t="s">
        <v>177</v>
      </c>
      <c r="M22" s="29" t="str">
        <f t="shared" si="3"/>
        <v>CRITICO</v>
      </c>
    </row>
    <row r="23" ht="15.75" customHeight="1">
      <c r="B23" s="115" t="s">
        <v>207</v>
      </c>
      <c r="C23" s="96" t="s">
        <v>253</v>
      </c>
      <c r="D23" s="38"/>
      <c r="E23" s="15">
        <v>0.0</v>
      </c>
      <c r="F23" s="117">
        <v>0.0</v>
      </c>
      <c r="G23" s="43"/>
      <c r="H23" s="159"/>
      <c r="I23" s="38">
        <f t="shared" si="1"/>
        <v>0</v>
      </c>
      <c r="J23" s="25">
        <f t="shared" si="2"/>
        <v>0</v>
      </c>
      <c r="K23" s="160">
        <v>7800.0</v>
      </c>
      <c r="L23" s="54" t="s">
        <v>177</v>
      </c>
      <c r="M23" s="29" t="str">
        <f t="shared" si="3"/>
        <v>CRITICO</v>
      </c>
    </row>
    <row r="24" ht="15.75" customHeight="1">
      <c r="B24" s="115" t="s">
        <v>169</v>
      </c>
      <c r="C24" s="96" t="s">
        <v>256</v>
      </c>
      <c r="D24" s="38"/>
      <c r="E24" s="15">
        <v>1.0</v>
      </c>
      <c r="F24" s="117">
        <v>1.0</v>
      </c>
      <c r="G24" s="43"/>
      <c r="H24" s="159"/>
      <c r="I24" s="38">
        <f t="shared" si="1"/>
        <v>1</v>
      </c>
      <c r="J24" s="25">
        <f t="shared" si="2"/>
        <v>0</v>
      </c>
      <c r="K24" s="160">
        <v>10000.0</v>
      </c>
      <c r="L24" s="54" t="s">
        <v>177</v>
      </c>
      <c r="M24" s="29" t="str">
        <f t="shared" si="3"/>
        <v>CRITICO</v>
      </c>
    </row>
    <row r="25" ht="15.75" customHeight="1">
      <c r="B25" s="115" t="s">
        <v>207</v>
      </c>
      <c r="C25" s="96" t="s">
        <v>260</v>
      </c>
      <c r="D25" s="38"/>
      <c r="E25" s="15">
        <v>0.0</v>
      </c>
      <c r="F25" s="117">
        <v>0.0</v>
      </c>
      <c r="G25" s="43"/>
      <c r="H25" s="43"/>
      <c r="I25" s="38">
        <f t="shared" si="1"/>
        <v>0</v>
      </c>
      <c r="J25" s="25">
        <f t="shared" si="2"/>
        <v>0</v>
      </c>
      <c r="K25" s="25">
        <f>+IF(F25=0,0,MIN(MAX((J25-F25)/F25,0),1))</f>
        <v>0</v>
      </c>
      <c r="L25" s="54" t="s">
        <v>177</v>
      </c>
      <c r="M25" s="29" t="str">
        <f t="shared" si="3"/>
        <v>CRITICO</v>
      </c>
    </row>
    <row r="26" ht="15.75" customHeight="1">
      <c r="B26" s="140"/>
      <c r="C26" s="96" t="s">
        <v>265</v>
      </c>
      <c r="D26" s="56" t="s">
        <v>266</v>
      </c>
      <c r="E26" s="15">
        <v>2.0</v>
      </c>
      <c r="F26" s="117">
        <v>5.0</v>
      </c>
      <c r="G26" s="43"/>
      <c r="H26" s="43"/>
      <c r="I26" s="38">
        <f t="shared" si="1"/>
        <v>5</v>
      </c>
      <c r="J26" s="25">
        <f t="shared" si="2"/>
        <v>1</v>
      </c>
      <c r="K26" s="160">
        <v>68000.0</v>
      </c>
      <c r="L26" s="54" t="s">
        <v>177</v>
      </c>
      <c r="M26" s="29" t="str">
        <f t="shared" si="3"/>
        <v>BIEN</v>
      </c>
    </row>
    <row r="27" ht="15.75" customHeight="1">
      <c r="B27" s="140"/>
      <c r="C27" s="96" t="s">
        <v>270</v>
      </c>
      <c r="D27" s="38"/>
      <c r="E27" s="15">
        <v>5.0</v>
      </c>
      <c r="F27" s="117">
        <v>28.0</v>
      </c>
      <c r="G27" s="43"/>
      <c r="H27" s="43"/>
      <c r="I27" s="38">
        <f t="shared" si="1"/>
        <v>28</v>
      </c>
      <c r="J27" s="25">
        <f t="shared" si="2"/>
        <v>1</v>
      </c>
      <c r="K27" s="160">
        <v>16900.0</v>
      </c>
      <c r="L27" s="54" t="s">
        <v>177</v>
      </c>
      <c r="M27" s="29" t="str">
        <f t="shared" si="3"/>
        <v>BIEN</v>
      </c>
    </row>
    <row r="28" ht="15.75" customHeight="1">
      <c r="B28" s="140"/>
      <c r="C28" s="96" t="s">
        <v>274</v>
      </c>
      <c r="D28" s="38"/>
      <c r="E28" s="15">
        <v>5.0</v>
      </c>
      <c r="F28" s="117">
        <v>19.0</v>
      </c>
      <c r="G28" s="43"/>
      <c r="H28" s="159"/>
      <c r="I28" s="38">
        <f t="shared" si="1"/>
        <v>19</v>
      </c>
      <c r="J28" s="25">
        <f t="shared" si="2"/>
        <v>1</v>
      </c>
      <c r="K28" s="160">
        <v>148631.0</v>
      </c>
      <c r="L28" s="54" t="s">
        <v>177</v>
      </c>
      <c r="M28" s="29" t="str">
        <f t="shared" si="3"/>
        <v>BIEN</v>
      </c>
    </row>
    <row r="29" ht="15.75" customHeight="1">
      <c r="B29" s="140"/>
      <c r="C29" s="96" t="s">
        <v>277</v>
      </c>
      <c r="D29" s="38"/>
      <c r="E29" s="14"/>
      <c r="F29" s="138"/>
      <c r="G29" s="43"/>
      <c r="H29" s="43"/>
      <c r="I29" s="38">
        <f t="shared" si="1"/>
        <v>0</v>
      </c>
      <c r="J29" s="25">
        <f t="shared" si="2"/>
        <v>0</v>
      </c>
      <c r="K29" s="160"/>
      <c r="L29" s="54" t="s">
        <v>177</v>
      </c>
      <c r="M29" s="29" t="str">
        <f t="shared" si="3"/>
        <v>CRITICO</v>
      </c>
    </row>
    <row r="30" ht="15.75" customHeight="1">
      <c r="B30" s="115" t="s">
        <v>240</v>
      </c>
      <c r="C30" s="96" t="s">
        <v>282</v>
      </c>
      <c r="D30" s="38"/>
      <c r="E30" s="15">
        <v>1.0</v>
      </c>
      <c r="F30" s="117">
        <v>10.0</v>
      </c>
      <c r="G30" s="43"/>
      <c r="H30" s="43"/>
      <c r="I30" s="38">
        <f t="shared" si="1"/>
        <v>10</v>
      </c>
      <c r="J30" s="25">
        <f t="shared" si="2"/>
        <v>1</v>
      </c>
      <c r="K30" s="160">
        <v>16886.0</v>
      </c>
      <c r="L30" s="54" t="s">
        <v>177</v>
      </c>
      <c r="M30" s="29" t="str">
        <f t="shared" si="3"/>
        <v>BIEN</v>
      </c>
    </row>
    <row r="31" ht="15.75" customHeight="1">
      <c r="B31" s="115" t="s">
        <v>169</v>
      </c>
      <c r="C31" s="96" t="s">
        <v>285</v>
      </c>
      <c r="D31" s="38"/>
      <c r="E31" s="15">
        <v>1.0</v>
      </c>
      <c r="F31" s="117">
        <v>1.0</v>
      </c>
      <c r="G31" s="43"/>
      <c r="H31" s="43"/>
      <c r="I31" s="38">
        <f t="shared" si="1"/>
        <v>1</v>
      </c>
      <c r="J31" s="25">
        <f t="shared" si="2"/>
        <v>0</v>
      </c>
      <c r="K31" s="124">
        <v>12412.0</v>
      </c>
      <c r="L31" s="147" t="s">
        <v>288</v>
      </c>
      <c r="M31" s="29" t="str">
        <f t="shared" si="3"/>
        <v>CRITICO</v>
      </c>
    </row>
    <row r="32" ht="15.75" customHeight="1">
      <c r="B32" s="140"/>
      <c r="C32" s="149"/>
      <c r="D32" s="38"/>
      <c r="E32" s="14"/>
      <c r="F32" s="138"/>
      <c r="G32" s="43"/>
      <c r="H32" s="43"/>
      <c r="I32" s="38">
        <f t="shared" si="1"/>
        <v>0</v>
      </c>
      <c r="J32" s="25">
        <f t="shared" si="2"/>
        <v>0</v>
      </c>
      <c r="K32" s="160"/>
      <c r="L32" s="54" t="s">
        <v>177</v>
      </c>
      <c r="M32" s="29" t="str">
        <f t="shared" si="3"/>
        <v>CRITICO</v>
      </c>
    </row>
    <row r="33" ht="15.75" customHeight="1">
      <c r="B33" s="140"/>
      <c r="C33" s="149"/>
      <c r="D33" s="38"/>
      <c r="E33" s="14"/>
      <c r="F33" s="138"/>
      <c r="G33" s="43"/>
      <c r="H33" s="43"/>
      <c r="I33" s="38">
        <f t="shared" si="1"/>
        <v>0</v>
      </c>
      <c r="J33" s="25">
        <f t="shared" si="2"/>
        <v>0</v>
      </c>
      <c r="K33" s="160"/>
      <c r="L33" s="54" t="s">
        <v>177</v>
      </c>
      <c r="M33" s="29" t="str">
        <f t="shared" si="3"/>
        <v>CRITICO</v>
      </c>
    </row>
    <row r="34" ht="15.75" customHeight="1">
      <c r="B34" s="140"/>
      <c r="C34" s="149"/>
      <c r="D34" s="38"/>
      <c r="E34" s="14"/>
      <c r="F34" s="138"/>
      <c r="G34" s="43"/>
      <c r="H34" s="43"/>
      <c r="I34" s="38">
        <f t="shared" si="1"/>
        <v>0</v>
      </c>
      <c r="J34" s="25">
        <f t="shared" si="2"/>
        <v>0</v>
      </c>
      <c r="K34" s="160"/>
      <c r="L34" s="54" t="s">
        <v>177</v>
      </c>
      <c r="M34" s="29" t="str">
        <f t="shared" si="3"/>
        <v>CRITICO</v>
      </c>
    </row>
    <row r="35" ht="15.75" customHeight="1">
      <c r="B35" s="140"/>
      <c r="C35" s="149"/>
      <c r="D35" s="38"/>
      <c r="E35" s="14"/>
      <c r="F35" s="138"/>
      <c r="G35" s="43"/>
      <c r="H35" s="43"/>
      <c r="I35" s="38">
        <f t="shared" si="1"/>
        <v>0</v>
      </c>
      <c r="J35" s="25">
        <f t="shared" si="2"/>
        <v>0</v>
      </c>
      <c r="K35" s="160"/>
      <c r="L35" s="54" t="s">
        <v>177</v>
      </c>
      <c r="M35" s="29" t="str">
        <f t="shared" si="3"/>
        <v>CRITICO</v>
      </c>
    </row>
    <row r="36" ht="15.75" customHeight="1">
      <c r="B36" s="140"/>
      <c r="C36" s="149"/>
      <c r="D36" s="38"/>
      <c r="E36" s="14"/>
      <c r="F36" s="175"/>
      <c r="G36" s="43"/>
      <c r="H36" s="43"/>
      <c r="I36" s="177">
        <f t="shared" si="1"/>
        <v>0</v>
      </c>
      <c r="J36" s="25">
        <f t="shared" si="2"/>
        <v>0</v>
      </c>
      <c r="K36" s="56"/>
      <c r="L36" s="54" t="s">
        <v>177</v>
      </c>
      <c r="M36" s="29" t="str">
        <f t="shared" si="3"/>
        <v>CRITICO</v>
      </c>
    </row>
    <row r="37" ht="15.75" customHeight="1">
      <c r="B37" s="140"/>
      <c r="C37" s="149"/>
      <c r="D37" s="38"/>
      <c r="E37" s="14"/>
      <c r="F37" s="175"/>
      <c r="G37" s="43"/>
      <c r="H37" s="43"/>
      <c r="I37" s="177">
        <f t="shared" si="1"/>
        <v>0</v>
      </c>
      <c r="J37" s="25">
        <f t="shared" si="2"/>
        <v>0</v>
      </c>
      <c r="K37" s="56"/>
      <c r="L37" s="54" t="s">
        <v>177</v>
      </c>
      <c r="M37" s="29" t="str">
        <f t="shared" si="3"/>
        <v>CRITICO</v>
      </c>
    </row>
    <row r="38" ht="15.75" customHeight="1">
      <c r="B38" s="140"/>
      <c r="C38" s="149"/>
      <c r="D38" s="38"/>
      <c r="E38" s="14"/>
      <c r="F38" s="175"/>
      <c r="G38" s="43"/>
      <c r="H38" s="43"/>
      <c r="I38" s="177">
        <f t="shared" si="1"/>
        <v>0</v>
      </c>
      <c r="J38" s="25">
        <f t="shared" si="2"/>
        <v>0</v>
      </c>
      <c r="K38" s="56"/>
      <c r="L38" s="54" t="s">
        <v>177</v>
      </c>
      <c r="M38" s="29" t="str">
        <f t="shared" si="3"/>
        <v>CRITICO</v>
      </c>
    </row>
    <row r="39" ht="15.75" customHeight="1">
      <c r="B39" s="140"/>
      <c r="C39" s="149"/>
      <c r="D39" s="38"/>
      <c r="E39" s="14"/>
      <c r="F39" s="175"/>
      <c r="G39" s="43"/>
      <c r="H39" s="43"/>
      <c r="I39" s="177">
        <f t="shared" si="1"/>
        <v>0</v>
      </c>
      <c r="J39" s="25">
        <f t="shared" si="2"/>
        <v>0</v>
      </c>
      <c r="K39" s="56"/>
      <c r="L39" s="54" t="s">
        <v>177</v>
      </c>
      <c r="M39" s="29" t="str">
        <f t="shared" si="3"/>
        <v>CRITICO</v>
      </c>
    </row>
    <row r="40" ht="15.75" customHeight="1">
      <c r="B40" s="140"/>
      <c r="C40" s="149"/>
      <c r="D40" s="38"/>
      <c r="E40" s="14"/>
      <c r="F40" s="175"/>
      <c r="G40" s="43"/>
      <c r="H40" s="43"/>
      <c r="I40" s="177">
        <f t="shared" si="1"/>
        <v>0</v>
      </c>
      <c r="J40" s="25">
        <f t="shared" si="2"/>
        <v>0</v>
      </c>
      <c r="K40" s="56"/>
      <c r="L40" s="54" t="s">
        <v>177</v>
      </c>
      <c r="M40" s="29" t="str">
        <f t="shared" si="3"/>
        <v>CRITICO</v>
      </c>
    </row>
    <row r="41" ht="15.75" customHeight="1">
      <c r="B41" s="140"/>
      <c r="C41" s="149"/>
      <c r="D41" s="38"/>
      <c r="E41" s="14"/>
      <c r="F41" s="175"/>
      <c r="G41" s="43"/>
      <c r="H41" s="43"/>
      <c r="I41" s="177">
        <f t="shared" si="1"/>
        <v>0</v>
      </c>
      <c r="J41" s="25">
        <f t="shared" si="2"/>
        <v>0</v>
      </c>
      <c r="K41" s="56"/>
      <c r="L41" s="54" t="s">
        <v>177</v>
      </c>
      <c r="M41" s="29" t="str">
        <f t="shared" si="3"/>
        <v>CRITICO</v>
      </c>
    </row>
    <row r="42" ht="15.75" customHeight="1">
      <c r="B42" s="140"/>
      <c r="C42" s="149"/>
      <c r="D42" s="38"/>
      <c r="E42" s="14"/>
      <c r="F42" s="138"/>
      <c r="G42" s="43"/>
      <c r="H42" s="43"/>
      <c r="I42" s="38">
        <f t="shared" si="1"/>
        <v>0</v>
      </c>
      <c r="J42" s="25">
        <f t="shared" si="2"/>
        <v>0</v>
      </c>
      <c r="K42" s="56"/>
      <c r="L42" s="54" t="s">
        <v>177</v>
      </c>
      <c r="M42" s="29" t="str">
        <f t="shared" si="3"/>
        <v>CRITICO</v>
      </c>
    </row>
    <row r="43" ht="15.75" customHeight="1">
      <c r="B43" s="140"/>
      <c r="C43" s="149"/>
      <c r="D43" s="38"/>
      <c r="E43" s="52"/>
      <c r="F43" s="138"/>
      <c r="G43" s="43"/>
      <c r="H43" s="43"/>
      <c r="I43" s="38">
        <f t="shared" si="1"/>
        <v>0</v>
      </c>
      <c r="J43" s="25">
        <f t="shared" si="2"/>
        <v>0</v>
      </c>
      <c r="K43" s="56"/>
      <c r="L43" s="54" t="s">
        <v>177</v>
      </c>
      <c r="M43" s="29" t="str">
        <f t="shared" si="3"/>
        <v>CRITICO</v>
      </c>
    </row>
    <row r="44" ht="15.75" customHeight="1">
      <c r="B44" s="140"/>
      <c r="C44" s="149"/>
      <c r="D44" s="38"/>
      <c r="E44" s="52"/>
      <c r="F44" s="138"/>
      <c r="G44" s="43"/>
      <c r="H44" s="43"/>
      <c r="I44" s="38">
        <f t="shared" si="1"/>
        <v>0</v>
      </c>
      <c r="J44" s="25">
        <f t="shared" si="2"/>
        <v>0</v>
      </c>
      <c r="K44" s="56"/>
      <c r="L44" s="54" t="s">
        <v>177</v>
      </c>
      <c r="M44" s="29" t="str">
        <f t="shared" si="3"/>
        <v>CRITICO</v>
      </c>
    </row>
    <row r="45" ht="15.75" customHeight="1">
      <c r="B45" s="140"/>
      <c r="C45" s="149"/>
      <c r="D45" s="38"/>
      <c r="E45" s="52"/>
      <c r="F45" s="138"/>
      <c r="G45" s="43"/>
      <c r="H45" s="43"/>
      <c r="I45" s="38">
        <f t="shared" si="1"/>
        <v>0</v>
      </c>
      <c r="J45" s="25">
        <f t="shared" si="2"/>
        <v>0</v>
      </c>
      <c r="K45" s="56"/>
      <c r="L45" s="54" t="s">
        <v>177</v>
      </c>
      <c r="M45" s="29" t="str">
        <f t="shared" si="3"/>
        <v>CRITICO</v>
      </c>
    </row>
    <row r="46" ht="15.75" customHeight="1">
      <c r="B46" s="140"/>
      <c r="C46" s="149"/>
      <c r="D46" s="38"/>
      <c r="E46" s="52"/>
      <c r="F46" s="138"/>
      <c r="G46" s="43"/>
      <c r="H46" s="43"/>
      <c r="I46" s="38">
        <f t="shared" si="1"/>
        <v>0</v>
      </c>
      <c r="J46" s="25">
        <f t="shared" si="2"/>
        <v>0</v>
      </c>
      <c r="K46" s="56"/>
      <c r="L46" s="54" t="s">
        <v>177</v>
      </c>
      <c r="M46" s="29" t="str">
        <f t="shared" si="3"/>
        <v>CRITICO</v>
      </c>
    </row>
    <row r="47" ht="15.75" customHeight="1">
      <c r="B47" s="140"/>
      <c r="C47" s="149"/>
      <c r="D47" s="38"/>
      <c r="E47" s="52"/>
      <c r="F47" s="138"/>
      <c r="G47" s="43"/>
      <c r="H47" s="43"/>
      <c r="I47" s="38">
        <f t="shared" si="1"/>
        <v>0</v>
      </c>
      <c r="J47" s="25">
        <f t="shared" si="2"/>
        <v>0</v>
      </c>
      <c r="K47" s="56"/>
      <c r="L47" s="54" t="s">
        <v>177</v>
      </c>
      <c r="M47" s="29" t="str">
        <f t="shared" si="3"/>
        <v>CRITICO</v>
      </c>
    </row>
    <row r="48" ht="15.75" customHeight="1">
      <c r="B48" s="140"/>
      <c r="C48" s="149"/>
      <c r="D48" s="38"/>
      <c r="E48" s="52"/>
      <c r="F48" s="138"/>
      <c r="G48" s="43"/>
      <c r="H48" s="43"/>
      <c r="I48" s="38">
        <f t="shared" si="1"/>
        <v>0</v>
      </c>
      <c r="J48" s="25">
        <f t="shared" si="2"/>
        <v>0</v>
      </c>
      <c r="K48" s="56"/>
      <c r="L48" s="54" t="s">
        <v>177</v>
      </c>
      <c r="M48" s="29" t="str">
        <f t="shared" si="3"/>
        <v>CRITICO</v>
      </c>
    </row>
    <row r="49" ht="15.75" customHeight="1">
      <c r="B49" s="140"/>
      <c r="C49" s="149"/>
      <c r="D49" s="38"/>
      <c r="E49" s="52"/>
      <c r="F49" s="183"/>
      <c r="G49" s="43"/>
      <c r="H49" s="43"/>
      <c r="I49" s="184">
        <f t="shared" si="1"/>
        <v>0</v>
      </c>
      <c r="J49" s="25">
        <f t="shared" si="2"/>
        <v>0</v>
      </c>
      <c r="K49" s="56"/>
      <c r="L49" s="54" t="s">
        <v>177</v>
      </c>
      <c r="M49" s="29" t="str">
        <f t="shared" si="3"/>
        <v>CRITICO</v>
      </c>
    </row>
    <row r="50" ht="15.75" customHeight="1">
      <c r="B50" s="140"/>
      <c r="C50" s="149"/>
      <c r="D50" s="38"/>
      <c r="E50" s="52"/>
      <c r="F50" s="183"/>
      <c r="G50" s="43"/>
      <c r="H50" s="43"/>
      <c r="I50" s="184">
        <f t="shared" si="1"/>
        <v>0</v>
      </c>
      <c r="J50" s="25">
        <f t="shared" si="2"/>
        <v>0</v>
      </c>
      <c r="K50" s="56"/>
      <c r="L50" s="54" t="s">
        <v>177</v>
      </c>
      <c r="M50" s="29" t="str">
        <f t="shared" si="3"/>
        <v>CRITICO</v>
      </c>
    </row>
    <row r="51" ht="15.75" customHeight="1">
      <c r="B51" s="140"/>
      <c r="C51" s="149"/>
      <c r="D51" s="38"/>
      <c r="E51" s="52"/>
      <c r="F51" s="138"/>
      <c r="G51" s="43"/>
      <c r="H51" s="43"/>
      <c r="I51" s="38">
        <f t="shared" si="1"/>
        <v>0</v>
      </c>
      <c r="J51" s="25">
        <f t="shared" si="2"/>
        <v>0</v>
      </c>
      <c r="K51" s="56"/>
      <c r="L51" s="54" t="s">
        <v>177</v>
      </c>
      <c r="M51" s="29" t="str">
        <f t="shared" si="3"/>
        <v>CRITICO</v>
      </c>
    </row>
    <row r="52" ht="15.75" customHeight="1">
      <c r="B52" s="140"/>
      <c r="C52" s="149"/>
      <c r="D52" s="38"/>
      <c r="E52" s="52"/>
      <c r="F52" s="138"/>
      <c r="G52" s="43"/>
      <c r="H52" s="43"/>
      <c r="I52" s="38">
        <f t="shared" si="1"/>
        <v>0</v>
      </c>
      <c r="J52" s="25">
        <f t="shared" si="2"/>
        <v>0</v>
      </c>
      <c r="K52" s="56"/>
      <c r="L52" s="54" t="s">
        <v>177</v>
      </c>
      <c r="M52" s="29" t="str">
        <f t="shared" si="3"/>
        <v>CRITICO</v>
      </c>
    </row>
    <row r="53" ht="15.75" customHeight="1">
      <c r="B53" s="115"/>
      <c r="C53" s="96"/>
      <c r="D53" s="56"/>
      <c r="E53" s="182"/>
      <c r="F53" s="117"/>
      <c r="G53" s="43"/>
      <c r="H53" s="43"/>
      <c r="I53" s="38">
        <f t="shared" si="1"/>
        <v>0</v>
      </c>
      <c r="J53" s="25">
        <f t="shared" si="2"/>
        <v>0</v>
      </c>
      <c r="K53" s="56"/>
      <c r="L53" s="54" t="s">
        <v>177</v>
      </c>
      <c r="M53" s="29" t="str">
        <f t="shared" si="3"/>
        <v>CRITICO</v>
      </c>
    </row>
    <row r="54" ht="15.75" customHeight="1">
      <c r="B54" s="140"/>
      <c r="C54" s="149"/>
      <c r="D54" s="38"/>
      <c r="E54" s="52"/>
      <c r="F54" s="138"/>
      <c r="G54" s="43"/>
      <c r="H54" s="43"/>
      <c r="I54" s="38">
        <f t="shared" si="1"/>
        <v>0</v>
      </c>
      <c r="J54" s="25">
        <f t="shared" si="2"/>
        <v>0</v>
      </c>
      <c r="K54" s="56"/>
      <c r="L54" s="54" t="s">
        <v>177</v>
      </c>
      <c r="M54" s="29" t="str">
        <f t="shared" si="3"/>
        <v>CRITICO</v>
      </c>
    </row>
    <row r="55" ht="15.75" customHeight="1">
      <c r="B55" s="140"/>
      <c r="C55" s="149"/>
      <c r="D55" s="38"/>
      <c r="E55" s="52"/>
      <c r="F55" s="138"/>
      <c r="G55" s="43"/>
      <c r="H55" s="43"/>
      <c r="I55" s="38">
        <f t="shared" si="1"/>
        <v>0</v>
      </c>
      <c r="J55" s="25">
        <f t="shared" si="2"/>
        <v>0</v>
      </c>
      <c r="K55" s="56"/>
      <c r="L55" s="54" t="s">
        <v>177</v>
      </c>
      <c r="M55" s="29" t="str">
        <f t="shared" si="3"/>
        <v>CRITICO</v>
      </c>
    </row>
    <row r="56" ht="15.75" customHeight="1">
      <c r="B56" s="140"/>
      <c r="C56" s="149"/>
      <c r="D56" s="38"/>
      <c r="E56" s="52"/>
      <c r="F56" s="138"/>
      <c r="G56" s="43"/>
      <c r="H56" s="43"/>
      <c r="I56" s="38">
        <f t="shared" si="1"/>
        <v>0</v>
      </c>
      <c r="J56" s="25">
        <f t="shared" si="2"/>
        <v>0</v>
      </c>
      <c r="K56" s="56"/>
      <c r="L56" s="54" t="s">
        <v>177</v>
      </c>
      <c r="M56" s="29" t="str">
        <f t="shared" si="3"/>
        <v>CRITICO</v>
      </c>
    </row>
    <row r="57" ht="15.75" customHeight="1">
      <c r="B57" s="140"/>
      <c r="C57" s="149"/>
      <c r="D57" s="38"/>
      <c r="E57" s="52"/>
      <c r="F57" s="138"/>
      <c r="G57" s="43"/>
      <c r="H57" s="43"/>
      <c r="I57" s="38">
        <f t="shared" si="1"/>
        <v>0</v>
      </c>
      <c r="J57" s="25">
        <f t="shared" si="2"/>
        <v>0</v>
      </c>
      <c r="K57" s="56"/>
      <c r="L57" s="54" t="s">
        <v>177</v>
      </c>
      <c r="M57" s="29" t="str">
        <f t="shared" si="3"/>
        <v>CRITICO</v>
      </c>
    </row>
    <row r="58" ht="15.75" customHeight="1">
      <c r="B58" s="140"/>
      <c r="C58" s="149"/>
      <c r="D58" s="38"/>
      <c r="E58" s="52"/>
      <c r="F58" s="138"/>
      <c r="G58" s="43"/>
      <c r="H58" s="43"/>
      <c r="I58" s="38">
        <f t="shared" si="1"/>
        <v>0</v>
      </c>
      <c r="J58" s="25">
        <f t="shared" si="2"/>
        <v>0</v>
      </c>
      <c r="K58" s="56"/>
      <c r="L58" s="54" t="s">
        <v>177</v>
      </c>
      <c r="M58" s="29" t="str">
        <f t="shared" si="3"/>
        <v>CRITICO</v>
      </c>
    </row>
    <row r="59" ht="15.75" customHeight="1">
      <c r="B59" s="140"/>
      <c r="C59" s="149"/>
      <c r="D59" s="38"/>
      <c r="E59" s="52"/>
      <c r="F59" s="138"/>
      <c r="G59" s="43"/>
      <c r="H59" s="43"/>
      <c r="I59" s="38">
        <f t="shared" si="1"/>
        <v>0</v>
      </c>
      <c r="J59" s="25">
        <f t="shared" si="2"/>
        <v>0</v>
      </c>
      <c r="K59" s="56"/>
      <c r="L59" s="54" t="s">
        <v>177</v>
      </c>
      <c r="M59" s="29" t="str">
        <f t="shared" si="3"/>
        <v>CRITICO</v>
      </c>
    </row>
    <row r="60" ht="15.75" customHeight="1">
      <c r="B60" s="140"/>
      <c r="C60" s="149"/>
      <c r="D60" s="38"/>
      <c r="E60" s="52"/>
      <c r="F60" s="138"/>
      <c r="G60" s="43"/>
      <c r="H60" s="43"/>
      <c r="I60" s="38">
        <f t="shared" si="1"/>
        <v>0</v>
      </c>
      <c r="J60" s="25">
        <f t="shared" si="2"/>
        <v>0</v>
      </c>
      <c r="K60" s="56"/>
      <c r="L60" s="54" t="s">
        <v>177</v>
      </c>
      <c r="M60" s="29" t="str">
        <f t="shared" si="3"/>
        <v>CRITICO</v>
      </c>
    </row>
    <row r="61" ht="15.75" customHeight="1">
      <c r="B61" s="140"/>
      <c r="C61" s="149"/>
      <c r="D61" s="38"/>
      <c r="E61" s="52"/>
      <c r="F61" s="138"/>
      <c r="G61" s="43"/>
      <c r="H61" s="43"/>
      <c r="I61" s="38">
        <f t="shared" si="1"/>
        <v>0</v>
      </c>
      <c r="J61" s="25">
        <f t="shared" si="2"/>
        <v>0</v>
      </c>
      <c r="K61" s="56"/>
      <c r="L61" s="54" t="s">
        <v>177</v>
      </c>
      <c r="M61" s="29" t="str">
        <f t="shared" si="3"/>
        <v>CRITICO</v>
      </c>
    </row>
    <row r="62" ht="15.75" customHeight="1">
      <c r="B62" s="140"/>
      <c r="C62" s="216"/>
      <c r="D62" s="38"/>
      <c r="E62" s="52"/>
      <c r="F62" s="217"/>
      <c r="G62" s="43"/>
      <c r="H62" s="159"/>
      <c r="I62" s="218">
        <f t="shared" si="1"/>
        <v>0</v>
      </c>
      <c r="J62" s="25">
        <f t="shared" si="2"/>
        <v>0</v>
      </c>
      <c r="K62" s="56"/>
      <c r="L62" s="54" t="s">
        <v>343</v>
      </c>
      <c r="M62" s="29" t="str">
        <f t="shared" si="3"/>
        <v>CRITICO</v>
      </c>
    </row>
    <row r="63" ht="15.75" customHeight="1">
      <c r="B63" s="140"/>
      <c r="C63" s="216"/>
      <c r="D63" s="38"/>
      <c r="E63" s="52"/>
      <c r="F63" s="136"/>
      <c r="G63" s="43"/>
      <c r="H63" s="221"/>
      <c r="I63" s="218">
        <f t="shared" si="1"/>
        <v>0</v>
      </c>
      <c r="J63" s="25">
        <f t="shared" si="2"/>
        <v>0</v>
      </c>
      <c r="K63" s="56"/>
      <c r="L63" s="54" t="s">
        <v>343</v>
      </c>
      <c r="M63" s="29" t="str">
        <f t="shared" si="3"/>
        <v>CRITICO</v>
      </c>
    </row>
    <row r="64" ht="15.75" customHeight="1">
      <c r="B64" s="140"/>
      <c r="C64" s="216"/>
      <c r="D64" s="38"/>
      <c r="E64" s="52"/>
      <c r="F64" s="136"/>
      <c r="G64" s="43"/>
      <c r="H64" s="43"/>
      <c r="I64" s="218">
        <f t="shared" si="1"/>
        <v>0</v>
      </c>
      <c r="J64" s="25">
        <f t="shared" si="2"/>
        <v>0</v>
      </c>
      <c r="K64" s="56"/>
      <c r="L64" s="54" t="s">
        <v>343</v>
      </c>
      <c r="M64" s="29" t="str">
        <f t="shared" si="3"/>
        <v>CRITICO</v>
      </c>
    </row>
    <row r="65" ht="15.75" customHeight="1">
      <c r="B65" s="140"/>
      <c r="C65" s="216"/>
      <c r="D65" s="38"/>
      <c r="E65" s="52"/>
      <c r="F65" s="136"/>
      <c r="G65" s="43"/>
      <c r="H65" s="43"/>
      <c r="I65" s="218">
        <f t="shared" si="1"/>
        <v>0</v>
      </c>
      <c r="J65" s="25">
        <f t="shared" si="2"/>
        <v>0</v>
      </c>
      <c r="K65" s="56"/>
      <c r="L65" s="54" t="s">
        <v>343</v>
      </c>
      <c r="M65" s="29" t="str">
        <f t="shared" si="3"/>
        <v>CRITICO</v>
      </c>
    </row>
    <row r="66" ht="15.75" customHeight="1">
      <c r="B66" s="140"/>
      <c r="C66" s="149"/>
      <c r="D66" s="38"/>
      <c r="E66" s="52"/>
      <c r="F66" s="138"/>
      <c r="G66" s="43"/>
      <c r="H66" s="43"/>
      <c r="I66" s="38">
        <f t="shared" si="1"/>
        <v>0</v>
      </c>
      <c r="J66" s="25">
        <f t="shared" si="2"/>
        <v>0</v>
      </c>
      <c r="K66" s="56"/>
      <c r="L66" s="54" t="s">
        <v>177</v>
      </c>
      <c r="M66" s="29" t="str">
        <f t="shared" si="3"/>
        <v>CRITICO</v>
      </c>
    </row>
    <row r="67" ht="15.75" customHeight="1">
      <c r="B67" s="140"/>
      <c r="C67" s="149"/>
      <c r="D67" s="38"/>
      <c r="E67" s="52"/>
      <c r="F67" s="138"/>
      <c r="G67" s="43"/>
      <c r="H67" s="43"/>
      <c r="I67" s="38">
        <f t="shared" si="1"/>
        <v>0</v>
      </c>
      <c r="J67" s="25">
        <f t="shared" si="2"/>
        <v>0</v>
      </c>
      <c r="K67" s="56"/>
      <c r="L67" s="54" t="s">
        <v>359</v>
      </c>
      <c r="M67" s="29" t="str">
        <f t="shared" si="3"/>
        <v>CRITICO</v>
      </c>
    </row>
    <row r="68" ht="15.75" customHeight="1">
      <c r="B68" s="140"/>
      <c r="C68" s="149"/>
      <c r="D68" s="38"/>
      <c r="E68" s="52"/>
      <c r="F68" s="138"/>
      <c r="G68" s="43"/>
      <c r="H68" s="43"/>
      <c r="I68" s="38">
        <f t="shared" si="1"/>
        <v>0</v>
      </c>
      <c r="J68" s="25">
        <f t="shared" si="2"/>
        <v>0</v>
      </c>
      <c r="K68" s="56"/>
      <c r="L68" s="54" t="s">
        <v>359</v>
      </c>
      <c r="M68" s="29" t="str">
        <f t="shared" si="3"/>
        <v>CRITICO</v>
      </c>
    </row>
    <row r="69" ht="15.75" customHeight="1">
      <c r="B69" s="140"/>
      <c r="C69" s="149"/>
      <c r="D69" s="38"/>
      <c r="E69" s="52"/>
      <c r="F69" s="138"/>
      <c r="G69" s="43"/>
      <c r="H69" s="43"/>
      <c r="I69" s="38">
        <f t="shared" si="1"/>
        <v>0</v>
      </c>
      <c r="J69" s="25">
        <f t="shared" si="2"/>
        <v>0</v>
      </c>
      <c r="K69" s="56"/>
      <c r="L69" s="54" t="s">
        <v>359</v>
      </c>
      <c r="M69" s="29" t="str">
        <f t="shared" si="3"/>
        <v>CRITICO</v>
      </c>
    </row>
    <row r="70" ht="15.75" customHeight="1">
      <c r="B70" s="140"/>
      <c r="C70" s="149"/>
      <c r="D70" s="38"/>
      <c r="E70" s="52"/>
      <c r="F70" s="138"/>
      <c r="G70" s="43"/>
      <c r="H70" s="43"/>
      <c r="I70" s="38">
        <f t="shared" si="1"/>
        <v>0</v>
      </c>
      <c r="J70" s="25">
        <f t="shared" si="2"/>
        <v>0</v>
      </c>
      <c r="K70" s="56"/>
      <c r="L70" s="54" t="s">
        <v>370</v>
      </c>
      <c r="M70" s="29" t="str">
        <f t="shared" si="3"/>
        <v>CRITICO</v>
      </c>
    </row>
    <row r="71" ht="15.75" customHeight="1">
      <c r="B71" s="140"/>
      <c r="C71" s="149"/>
      <c r="D71" s="38"/>
      <c r="E71" s="52"/>
      <c r="F71" s="183"/>
      <c r="G71" s="43"/>
      <c r="H71" s="43"/>
      <c r="I71" s="184">
        <f t="shared" si="1"/>
        <v>0</v>
      </c>
      <c r="J71" s="25">
        <f t="shared" si="2"/>
        <v>0</v>
      </c>
      <c r="K71" s="56"/>
      <c r="L71" s="54" t="s">
        <v>370</v>
      </c>
      <c r="M71" s="29" t="str">
        <f t="shared" si="3"/>
        <v>CRITICO</v>
      </c>
    </row>
    <row r="72" ht="15.75" customHeight="1">
      <c r="B72" s="140"/>
      <c r="C72" s="149"/>
      <c r="D72" s="38"/>
      <c r="E72" s="52"/>
      <c r="F72" s="138"/>
      <c r="G72" s="138"/>
      <c r="H72" s="138"/>
      <c r="I72" s="38">
        <f t="shared" si="1"/>
        <v>0</v>
      </c>
      <c r="J72" s="25">
        <f t="shared" si="2"/>
        <v>0</v>
      </c>
      <c r="K72" s="56"/>
      <c r="L72" s="54" t="s">
        <v>370</v>
      </c>
      <c r="M72" s="29" t="str">
        <f t="shared" si="3"/>
        <v>CRITICO</v>
      </c>
    </row>
    <row r="73" ht="15.75" customHeight="1">
      <c r="B73" s="140"/>
      <c r="C73" s="149"/>
      <c r="D73" s="38"/>
      <c r="E73" s="52"/>
      <c r="F73" s="138"/>
      <c r="G73" s="43"/>
      <c r="H73" s="43"/>
      <c r="I73" s="38">
        <f t="shared" si="1"/>
        <v>0</v>
      </c>
      <c r="J73" s="25">
        <f t="shared" si="2"/>
        <v>0</v>
      </c>
      <c r="K73" s="56"/>
      <c r="L73" s="54" t="s">
        <v>177</v>
      </c>
      <c r="M73" s="29" t="str">
        <f t="shared" si="3"/>
        <v>CRITICO</v>
      </c>
    </row>
    <row r="74" ht="15.75" customHeight="1">
      <c r="B74" s="140"/>
      <c r="C74" s="149"/>
      <c r="D74" s="38"/>
      <c r="E74" s="52"/>
      <c r="F74" s="138"/>
      <c r="G74" s="43"/>
      <c r="H74" s="43"/>
      <c r="I74" s="38">
        <f t="shared" si="1"/>
        <v>0</v>
      </c>
      <c r="J74" s="25">
        <f t="shared" si="2"/>
        <v>0</v>
      </c>
      <c r="K74" s="56"/>
      <c r="L74" s="54" t="s">
        <v>177</v>
      </c>
      <c r="M74" s="29" t="str">
        <f t="shared" si="3"/>
        <v>CRITICO</v>
      </c>
    </row>
    <row r="75" ht="15.75" customHeight="1">
      <c r="B75" s="140"/>
      <c r="C75" s="149"/>
      <c r="D75" s="38"/>
      <c r="E75" s="52"/>
      <c r="F75" s="138"/>
      <c r="G75" s="138"/>
      <c r="H75" s="138"/>
      <c r="I75" s="38">
        <f t="shared" si="1"/>
        <v>0</v>
      </c>
      <c r="J75" s="25">
        <f t="shared" si="2"/>
        <v>0</v>
      </c>
      <c r="K75" s="56"/>
      <c r="L75" s="54" t="s">
        <v>177</v>
      </c>
      <c r="M75" s="29" t="str">
        <f t="shared" si="3"/>
        <v>CRITICO</v>
      </c>
    </row>
    <row r="76" ht="15.75" customHeight="1">
      <c r="B76" s="140"/>
      <c r="C76" s="149"/>
      <c r="D76" s="38"/>
      <c r="E76" s="52"/>
      <c r="F76" s="138"/>
      <c r="G76" s="43"/>
      <c r="H76" s="43"/>
      <c r="I76" s="38">
        <f t="shared" si="1"/>
        <v>0</v>
      </c>
      <c r="J76" s="25">
        <f t="shared" si="2"/>
        <v>0</v>
      </c>
      <c r="K76" s="56"/>
      <c r="L76" s="54" t="s">
        <v>177</v>
      </c>
      <c r="M76" s="29" t="str">
        <f t="shared" si="3"/>
        <v>CRITICO</v>
      </c>
    </row>
    <row r="77" ht="15.75" customHeight="1">
      <c r="B77" s="140"/>
      <c r="C77" s="149"/>
      <c r="D77" s="38"/>
      <c r="E77" s="52"/>
      <c r="F77" s="138"/>
      <c r="G77" s="43"/>
      <c r="H77" s="43"/>
      <c r="I77" s="38">
        <f t="shared" si="1"/>
        <v>0</v>
      </c>
      <c r="J77" s="25">
        <f t="shared" si="2"/>
        <v>0</v>
      </c>
      <c r="K77" s="56"/>
      <c r="L77" s="54" t="s">
        <v>177</v>
      </c>
      <c r="M77" s="29" t="str">
        <f t="shared" si="3"/>
        <v>CRITICO</v>
      </c>
    </row>
    <row r="78" ht="15.75" customHeight="1">
      <c r="B78" s="140"/>
      <c r="C78" s="149"/>
      <c r="D78" s="38"/>
      <c r="E78" s="52"/>
      <c r="F78" s="138"/>
      <c r="G78" s="43"/>
      <c r="H78" s="43"/>
      <c r="I78" s="38">
        <f t="shared" si="1"/>
        <v>0</v>
      </c>
      <c r="J78" s="25">
        <f t="shared" si="2"/>
        <v>0</v>
      </c>
      <c r="K78" s="56"/>
      <c r="L78" s="54" t="s">
        <v>177</v>
      </c>
      <c r="M78" s="29" t="str">
        <f t="shared" si="3"/>
        <v>CRITICO</v>
      </c>
    </row>
    <row r="79" ht="15.75" customHeight="1">
      <c r="B79" s="140"/>
      <c r="C79" s="149"/>
      <c r="D79" s="38"/>
      <c r="E79" s="52"/>
      <c r="F79" s="138"/>
      <c r="G79" s="43"/>
      <c r="H79" s="43"/>
      <c r="I79" s="38">
        <f t="shared" si="1"/>
        <v>0</v>
      </c>
      <c r="J79" s="25">
        <f t="shared" si="2"/>
        <v>0</v>
      </c>
      <c r="K79" s="56"/>
      <c r="L79" s="54" t="s">
        <v>177</v>
      </c>
      <c r="M79" s="29" t="str">
        <f t="shared" si="3"/>
        <v>CRITICO</v>
      </c>
    </row>
    <row r="80" ht="15.75" customHeight="1">
      <c r="B80" s="140"/>
      <c r="C80" s="149"/>
      <c r="D80" s="38"/>
      <c r="E80" s="52"/>
      <c r="F80" s="138"/>
      <c r="G80" s="43"/>
      <c r="H80" s="43"/>
      <c r="I80" s="38">
        <f t="shared" si="1"/>
        <v>0</v>
      </c>
      <c r="J80" s="25">
        <f t="shared" si="2"/>
        <v>0</v>
      </c>
      <c r="K80" s="56"/>
      <c r="L80" s="54" t="s">
        <v>177</v>
      </c>
      <c r="M80" s="29" t="str">
        <f t="shared" si="3"/>
        <v>CRITICO</v>
      </c>
    </row>
    <row r="81" ht="15.75" customHeight="1">
      <c r="B81" s="140"/>
      <c r="C81" s="149"/>
      <c r="D81" s="38"/>
      <c r="E81" s="52"/>
      <c r="F81" s="138"/>
      <c r="G81" s="43"/>
      <c r="H81" s="43"/>
      <c r="I81" s="38">
        <f t="shared" si="1"/>
        <v>0</v>
      </c>
      <c r="J81" s="25">
        <f t="shared" si="2"/>
        <v>0</v>
      </c>
      <c r="K81" s="56"/>
      <c r="L81" s="54" t="s">
        <v>177</v>
      </c>
      <c r="M81" s="29" t="str">
        <f t="shared" si="3"/>
        <v>CRITICO</v>
      </c>
    </row>
    <row r="82" ht="15.75" customHeight="1">
      <c r="B82" s="140"/>
      <c r="C82" s="149"/>
      <c r="D82" s="38"/>
      <c r="E82" s="52"/>
      <c r="F82" s="138"/>
      <c r="G82" s="43"/>
      <c r="H82" s="43"/>
      <c r="I82" s="38">
        <f t="shared" si="1"/>
        <v>0</v>
      </c>
      <c r="J82" s="25">
        <f t="shared" si="2"/>
        <v>0</v>
      </c>
      <c r="K82" s="56"/>
      <c r="L82" s="54" t="s">
        <v>177</v>
      </c>
      <c r="M82" s="29" t="str">
        <f t="shared" si="3"/>
        <v>CRITICO</v>
      </c>
    </row>
    <row r="83" ht="15.75" customHeight="1">
      <c r="B83" s="140"/>
      <c r="C83" s="142"/>
      <c r="D83" s="38"/>
      <c r="E83" s="52"/>
      <c r="F83" s="175"/>
      <c r="G83" s="43"/>
      <c r="H83" s="43"/>
      <c r="I83" s="177">
        <f t="shared" si="1"/>
        <v>0</v>
      </c>
      <c r="J83" s="25">
        <f t="shared" si="2"/>
        <v>0</v>
      </c>
      <c r="K83" s="56"/>
      <c r="L83" s="54" t="s">
        <v>177</v>
      </c>
      <c r="M83" s="29" t="str">
        <f t="shared" si="3"/>
        <v>CRITICO</v>
      </c>
    </row>
    <row r="84" ht="15.75" customHeight="1">
      <c r="B84" s="140"/>
      <c r="C84" s="96"/>
      <c r="D84" s="56"/>
      <c r="E84" s="52"/>
      <c r="F84" s="175"/>
      <c r="G84" s="43"/>
      <c r="H84" s="43"/>
      <c r="I84" s="177">
        <f t="shared" si="1"/>
        <v>0</v>
      </c>
      <c r="J84" s="25">
        <f t="shared" si="2"/>
        <v>0</v>
      </c>
      <c r="K84" s="56"/>
      <c r="L84" s="54" t="s">
        <v>177</v>
      </c>
      <c r="M84" s="29" t="str">
        <f t="shared" si="3"/>
        <v>CRITICO</v>
      </c>
    </row>
    <row r="85" ht="15.75" customHeight="1">
      <c r="B85" s="140"/>
      <c r="C85" s="96"/>
      <c r="D85" s="56"/>
      <c r="E85" s="52"/>
      <c r="F85" s="117"/>
      <c r="G85" s="43"/>
      <c r="H85" s="43"/>
      <c r="I85" s="38">
        <f t="shared" si="1"/>
        <v>0</v>
      </c>
      <c r="J85" s="25">
        <f t="shared" si="2"/>
        <v>0</v>
      </c>
      <c r="K85" s="56"/>
      <c r="L85" s="54" t="s">
        <v>177</v>
      </c>
      <c r="M85" s="29" t="str">
        <f t="shared" si="3"/>
        <v>CRITICO</v>
      </c>
    </row>
    <row r="86" ht="15.75" customHeight="1">
      <c r="B86" s="140"/>
      <c r="C86" s="96"/>
      <c r="D86" s="56"/>
      <c r="E86" s="52"/>
      <c r="F86" s="117"/>
      <c r="G86" s="43"/>
      <c r="H86" s="43"/>
      <c r="I86" s="38">
        <f t="shared" si="1"/>
        <v>0</v>
      </c>
      <c r="J86" s="25">
        <f t="shared" si="2"/>
        <v>0</v>
      </c>
      <c r="K86" s="56"/>
      <c r="L86" s="54" t="s">
        <v>177</v>
      </c>
      <c r="M86" s="29" t="str">
        <f t="shared" si="3"/>
        <v>CRITICO</v>
      </c>
    </row>
    <row r="87" ht="15.75" customHeight="1">
      <c r="B87" s="140"/>
      <c r="C87" s="96"/>
      <c r="D87" s="56"/>
      <c r="E87" s="52"/>
      <c r="F87" s="117"/>
      <c r="G87" s="43"/>
      <c r="H87" s="43"/>
      <c r="I87" s="38">
        <f t="shared" si="1"/>
        <v>0</v>
      </c>
      <c r="J87" s="25">
        <f t="shared" si="2"/>
        <v>0</v>
      </c>
      <c r="K87" s="56"/>
      <c r="L87" s="54" t="s">
        <v>177</v>
      </c>
      <c r="M87" s="29" t="str">
        <f t="shared" si="3"/>
        <v>CRITICO</v>
      </c>
    </row>
    <row r="88" ht="15.75" customHeight="1">
      <c r="B88" s="140"/>
      <c r="C88" s="96"/>
      <c r="D88" s="56"/>
      <c r="E88" s="52"/>
      <c r="F88" s="117"/>
      <c r="G88" s="43"/>
      <c r="H88" s="43"/>
      <c r="I88" s="38">
        <f t="shared" si="1"/>
        <v>0</v>
      </c>
      <c r="J88" s="25">
        <f t="shared" si="2"/>
        <v>0</v>
      </c>
      <c r="K88" s="56"/>
      <c r="L88" s="54" t="s">
        <v>177</v>
      </c>
      <c r="M88" s="29" t="str">
        <f t="shared" si="3"/>
        <v>CRITICO</v>
      </c>
    </row>
    <row r="89" ht="15.75" customHeight="1">
      <c r="B89" s="140"/>
      <c r="C89" s="96"/>
      <c r="D89" s="56"/>
      <c r="E89" s="52"/>
      <c r="F89" s="138"/>
      <c r="G89" s="43"/>
      <c r="H89" s="43"/>
      <c r="I89" s="38">
        <f t="shared" si="1"/>
        <v>0</v>
      </c>
      <c r="J89" s="25">
        <f t="shared" si="2"/>
        <v>0</v>
      </c>
      <c r="K89" s="56"/>
      <c r="L89" s="54" t="s">
        <v>177</v>
      </c>
      <c r="M89" s="29" t="str">
        <f t="shared" si="3"/>
        <v>CRITICO</v>
      </c>
    </row>
    <row r="90" ht="15.75" customHeight="1">
      <c r="B90" s="140"/>
      <c r="C90" s="96"/>
      <c r="D90" s="56"/>
      <c r="E90" s="182"/>
      <c r="F90" s="117"/>
      <c r="G90" s="43"/>
      <c r="H90" s="43"/>
      <c r="I90" s="38">
        <f t="shared" si="1"/>
        <v>0</v>
      </c>
      <c r="J90" s="25">
        <f t="shared" si="2"/>
        <v>0</v>
      </c>
      <c r="K90" s="56"/>
      <c r="L90" s="54" t="s">
        <v>177</v>
      </c>
      <c r="M90" s="29" t="str">
        <f t="shared" si="3"/>
        <v>CRITICO</v>
      </c>
    </row>
    <row r="91" ht="15.75" customHeight="1">
      <c r="B91" s="140"/>
      <c r="C91" s="96"/>
      <c r="D91" s="56"/>
      <c r="E91" s="182"/>
      <c r="F91" s="117"/>
      <c r="G91" s="43"/>
      <c r="H91" s="43"/>
      <c r="I91" s="38">
        <f t="shared" si="1"/>
        <v>0</v>
      </c>
      <c r="J91" s="25">
        <f t="shared" si="2"/>
        <v>0</v>
      </c>
      <c r="K91" s="56"/>
      <c r="L91" s="54" t="s">
        <v>177</v>
      </c>
      <c r="M91" s="29" t="str">
        <f t="shared" si="3"/>
        <v>CRITICO</v>
      </c>
    </row>
    <row r="92" ht="15.75" customHeight="1">
      <c r="B92" s="140"/>
      <c r="C92" s="149"/>
      <c r="D92" s="38"/>
      <c r="E92" s="52"/>
      <c r="F92" s="138"/>
      <c r="G92" s="43"/>
      <c r="H92" s="43"/>
      <c r="I92" s="38">
        <f t="shared" si="1"/>
        <v>0</v>
      </c>
      <c r="J92" s="25">
        <f t="shared" si="2"/>
        <v>0</v>
      </c>
      <c r="K92" s="56"/>
      <c r="L92" s="54" t="s">
        <v>177</v>
      </c>
      <c r="M92" s="29" t="str">
        <f t="shared" si="3"/>
        <v>CRITICO</v>
      </c>
    </row>
    <row r="93" ht="15.75" customHeight="1">
      <c r="B93" s="140"/>
      <c r="C93" s="149"/>
      <c r="D93" s="38"/>
      <c r="E93" s="52"/>
      <c r="F93" s="138"/>
      <c r="G93" s="43"/>
      <c r="H93" s="43"/>
      <c r="I93" s="38">
        <f t="shared" si="1"/>
        <v>0</v>
      </c>
      <c r="J93" s="25">
        <f t="shared" si="2"/>
        <v>0</v>
      </c>
      <c r="K93" s="56"/>
      <c r="L93" s="54" t="s">
        <v>177</v>
      </c>
      <c r="M93" s="29" t="str">
        <f t="shared" si="3"/>
        <v>CRITICO</v>
      </c>
    </row>
    <row r="94" ht="15.75" customHeight="1">
      <c r="B94" s="140"/>
      <c r="C94" s="149"/>
      <c r="D94" s="38"/>
      <c r="E94" s="52"/>
      <c r="F94" s="138"/>
      <c r="G94" s="43"/>
      <c r="H94" s="43"/>
      <c r="I94" s="38">
        <f t="shared" si="1"/>
        <v>0</v>
      </c>
      <c r="J94" s="25">
        <f t="shared" si="2"/>
        <v>0</v>
      </c>
      <c r="K94" s="56"/>
      <c r="L94" s="54" t="s">
        <v>177</v>
      </c>
      <c r="M94" s="29" t="str">
        <f t="shared" si="3"/>
        <v>CRITICO</v>
      </c>
    </row>
    <row r="95" ht="15.75" customHeight="1">
      <c r="B95" s="140"/>
      <c r="C95" s="149"/>
      <c r="D95" s="38"/>
      <c r="E95" s="52"/>
      <c r="F95" s="138"/>
      <c r="G95" s="43"/>
      <c r="H95" s="43"/>
      <c r="I95" s="38">
        <f t="shared" si="1"/>
        <v>0</v>
      </c>
      <c r="J95" s="25">
        <f t="shared" si="2"/>
        <v>0</v>
      </c>
      <c r="K95" s="56"/>
      <c r="L95" s="54" t="s">
        <v>177</v>
      </c>
      <c r="M95" s="29" t="str">
        <f t="shared" si="3"/>
        <v>CRITICO</v>
      </c>
    </row>
    <row r="96" ht="15.75" customHeight="1">
      <c r="B96" s="140"/>
      <c r="C96" s="149"/>
      <c r="D96" s="38"/>
      <c r="E96" s="52"/>
      <c r="F96" s="138"/>
      <c r="G96" s="43"/>
      <c r="H96" s="43"/>
      <c r="I96" s="38">
        <f t="shared" si="1"/>
        <v>0</v>
      </c>
      <c r="J96" s="25">
        <f t="shared" si="2"/>
        <v>0</v>
      </c>
      <c r="K96" s="56"/>
      <c r="L96" s="54" t="s">
        <v>177</v>
      </c>
      <c r="M96" s="29" t="str">
        <f t="shared" si="3"/>
        <v>CRITICO</v>
      </c>
    </row>
    <row r="97" ht="15.75" customHeight="1">
      <c r="B97" s="140"/>
      <c r="C97" s="149"/>
      <c r="D97" s="38"/>
      <c r="E97" s="52"/>
      <c r="F97" s="138"/>
      <c r="G97" s="43"/>
      <c r="H97" s="43"/>
      <c r="I97" s="38">
        <f t="shared" si="1"/>
        <v>0</v>
      </c>
      <c r="J97" s="25">
        <f t="shared" si="2"/>
        <v>0</v>
      </c>
      <c r="K97" s="56"/>
      <c r="L97" s="54" t="s">
        <v>177</v>
      </c>
      <c r="M97" s="29" t="str">
        <f t="shared" si="3"/>
        <v>CRITICO</v>
      </c>
    </row>
    <row r="98" ht="15.75" customHeight="1">
      <c r="B98" s="140"/>
      <c r="C98" s="149"/>
      <c r="D98" s="38"/>
      <c r="E98" s="52"/>
      <c r="F98" s="138"/>
      <c r="G98" s="138"/>
      <c r="H98" s="138"/>
      <c r="I98" s="38">
        <f t="shared" si="1"/>
        <v>0</v>
      </c>
      <c r="J98" s="25">
        <f t="shared" si="2"/>
        <v>0</v>
      </c>
      <c r="K98" s="56"/>
      <c r="L98" s="54" t="s">
        <v>177</v>
      </c>
      <c r="M98" s="29" t="str">
        <f t="shared" si="3"/>
        <v>CRITICO</v>
      </c>
    </row>
    <row r="99" ht="15.75" customHeight="1">
      <c r="B99" s="140"/>
      <c r="C99" s="149"/>
      <c r="D99" s="38"/>
      <c r="E99" s="52"/>
      <c r="F99" s="138"/>
      <c r="G99" s="43"/>
      <c r="H99" s="43"/>
      <c r="I99" s="38">
        <f t="shared" si="1"/>
        <v>0</v>
      </c>
      <c r="J99" s="25">
        <f t="shared" si="2"/>
        <v>0</v>
      </c>
      <c r="K99" s="56"/>
      <c r="L99" s="54" t="s">
        <v>177</v>
      </c>
      <c r="M99" s="29" t="str">
        <f t="shared" si="3"/>
        <v>CRITICO</v>
      </c>
    </row>
    <row r="100" ht="15.75" customHeight="1">
      <c r="B100" s="140"/>
      <c r="C100" s="149"/>
      <c r="D100" s="38"/>
      <c r="E100" s="52"/>
      <c r="F100" s="138"/>
      <c r="G100" s="43"/>
      <c r="H100" s="159"/>
      <c r="I100" s="38">
        <f t="shared" si="1"/>
        <v>0</v>
      </c>
      <c r="J100" s="25">
        <f t="shared" si="2"/>
        <v>0</v>
      </c>
      <c r="K100" s="56"/>
      <c r="L100" s="54" t="s">
        <v>177</v>
      </c>
      <c r="M100" s="29" t="str">
        <f t="shared" si="3"/>
        <v>CRITICO</v>
      </c>
    </row>
    <row r="101" ht="15.75" customHeight="1">
      <c r="B101" s="140"/>
      <c r="C101" s="149"/>
      <c r="D101" s="38"/>
      <c r="E101" s="52"/>
      <c r="F101" s="138"/>
      <c r="G101" s="43"/>
      <c r="H101" s="159"/>
      <c r="I101" s="38">
        <f t="shared" si="1"/>
        <v>0</v>
      </c>
      <c r="J101" s="25">
        <f t="shared" si="2"/>
        <v>0</v>
      </c>
      <c r="K101" s="56"/>
      <c r="L101" s="54" t="s">
        <v>177</v>
      </c>
      <c r="M101" s="29" t="str">
        <f t="shared" si="3"/>
        <v>CRITICO</v>
      </c>
    </row>
    <row r="102" ht="15.75" customHeight="1">
      <c r="B102" s="140"/>
      <c r="C102" s="149"/>
      <c r="D102" s="38"/>
      <c r="E102" s="52"/>
      <c r="F102" s="138"/>
      <c r="G102" s="43"/>
      <c r="H102" s="159"/>
      <c r="I102" s="38">
        <f t="shared" si="1"/>
        <v>0</v>
      </c>
      <c r="J102" s="25">
        <f t="shared" si="2"/>
        <v>0</v>
      </c>
      <c r="K102" s="56"/>
      <c r="L102" s="54" t="s">
        <v>177</v>
      </c>
      <c r="M102" s="29" t="str">
        <f t="shared" si="3"/>
        <v>CRITICO</v>
      </c>
    </row>
    <row r="103" ht="15.75" customHeight="1">
      <c r="B103" s="140"/>
      <c r="C103" s="149"/>
      <c r="D103" s="38"/>
      <c r="E103" s="52"/>
      <c r="F103" s="138"/>
      <c r="G103" s="43"/>
      <c r="H103" s="43"/>
      <c r="I103" s="38">
        <f t="shared" si="1"/>
        <v>0</v>
      </c>
      <c r="J103" s="25">
        <f t="shared" si="2"/>
        <v>0</v>
      </c>
      <c r="K103" s="56"/>
      <c r="L103" s="54" t="s">
        <v>214</v>
      </c>
      <c r="M103" s="29" t="str">
        <f t="shared" si="3"/>
        <v>CRITICO</v>
      </c>
    </row>
    <row r="104" ht="15.75" customHeight="1">
      <c r="B104" s="140"/>
      <c r="C104" s="149"/>
      <c r="D104" s="38"/>
      <c r="E104" s="52"/>
      <c r="F104" s="138"/>
      <c r="G104" s="117"/>
      <c r="H104" s="117"/>
      <c r="I104" s="38">
        <f t="shared" si="1"/>
        <v>0</v>
      </c>
      <c r="J104" s="25">
        <f t="shared" si="2"/>
        <v>0</v>
      </c>
      <c r="K104" s="56"/>
      <c r="L104" s="54" t="s">
        <v>177</v>
      </c>
      <c r="M104" s="29" t="str">
        <f t="shared" si="3"/>
        <v>CRITICO</v>
      </c>
    </row>
    <row r="105" ht="15.75" customHeight="1">
      <c r="B105" s="140"/>
      <c r="C105" s="142"/>
      <c r="D105" s="38"/>
      <c r="E105" s="52"/>
      <c r="F105" s="138"/>
      <c r="G105" s="43"/>
      <c r="H105" s="43"/>
      <c r="I105" s="38">
        <f t="shared" si="1"/>
        <v>0</v>
      </c>
      <c r="J105" s="25">
        <f t="shared" si="2"/>
        <v>0</v>
      </c>
      <c r="K105" s="56"/>
      <c r="L105" s="54" t="s">
        <v>177</v>
      </c>
      <c r="M105" s="29" t="str">
        <f t="shared" si="3"/>
        <v>CRITICO</v>
      </c>
    </row>
    <row r="106" ht="15.75" customHeight="1">
      <c r="B106" s="140"/>
      <c r="C106" s="149"/>
      <c r="D106" s="38"/>
      <c r="E106" s="52"/>
      <c r="F106" s="138"/>
      <c r="G106" s="43"/>
      <c r="H106" s="43"/>
      <c r="I106" s="38">
        <f t="shared" si="1"/>
        <v>0</v>
      </c>
      <c r="J106" s="25">
        <f t="shared" si="2"/>
        <v>0</v>
      </c>
      <c r="K106" s="56"/>
      <c r="L106" s="54" t="s">
        <v>177</v>
      </c>
      <c r="M106" s="29" t="str">
        <f t="shared" si="3"/>
        <v>CRITICO</v>
      </c>
    </row>
    <row r="107" ht="15.75" customHeight="1">
      <c r="B107" s="140"/>
      <c r="C107" s="149"/>
      <c r="D107" s="14"/>
      <c r="E107" s="52"/>
      <c r="F107" s="138"/>
      <c r="G107" s="43"/>
      <c r="H107" s="43"/>
      <c r="I107" s="38">
        <f t="shared" si="1"/>
        <v>0</v>
      </c>
      <c r="J107" s="25">
        <f t="shared" si="2"/>
        <v>0</v>
      </c>
      <c r="K107" s="56"/>
      <c r="L107" s="14" t="s">
        <v>177</v>
      </c>
      <c r="M107" s="29" t="str">
        <f t="shared" si="3"/>
        <v>CRITICO</v>
      </c>
    </row>
    <row r="108" ht="15.75" customHeight="1">
      <c r="B108" s="140"/>
      <c r="C108" s="149"/>
      <c r="D108" s="14"/>
      <c r="E108" s="52"/>
      <c r="F108" s="138"/>
      <c r="G108" s="43"/>
      <c r="H108" s="43"/>
      <c r="I108" s="38">
        <f t="shared" si="1"/>
        <v>0</v>
      </c>
      <c r="J108" s="25">
        <f t="shared" si="2"/>
        <v>0</v>
      </c>
      <c r="K108" s="56"/>
      <c r="L108" s="14" t="s">
        <v>177</v>
      </c>
      <c r="M108" s="29" t="str">
        <f t="shared" si="3"/>
        <v>CRITICO</v>
      </c>
    </row>
    <row r="109" ht="15.75" customHeight="1">
      <c r="B109" s="140"/>
      <c r="C109" s="149"/>
      <c r="D109" s="14"/>
      <c r="E109" s="52"/>
      <c r="F109" s="138"/>
      <c r="G109" s="43"/>
      <c r="H109" s="43"/>
      <c r="I109" s="38">
        <f t="shared" si="1"/>
        <v>0</v>
      </c>
      <c r="J109" s="25">
        <f t="shared" si="2"/>
        <v>0</v>
      </c>
      <c r="K109" s="56"/>
      <c r="L109" s="252" t="s">
        <v>177</v>
      </c>
      <c r="M109" s="29" t="str">
        <f t="shared" si="3"/>
        <v>CRITICO</v>
      </c>
    </row>
    <row r="110" ht="15.75" customHeight="1">
      <c r="B110" s="140"/>
      <c r="C110" s="149"/>
      <c r="D110" s="14"/>
      <c r="E110" s="52"/>
      <c r="F110" s="138"/>
      <c r="G110" s="43"/>
      <c r="H110" s="43"/>
      <c r="I110" s="38">
        <f t="shared" si="1"/>
        <v>0</v>
      </c>
      <c r="J110" s="25">
        <f t="shared" si="2"/>
        <v>0</v>
      </c>
      <c r="K110" s="56"/>
      <c r="L110" s="252" t="s">
        <v>177</v>
      </c>
      <c r="M110" s="29" t="str">
        <f t="shared" si="3"/>
        <v>CRITICO</v>
      </c>
    </row>
    <row r="111" ht="15.75" customHeight="1">
      <c r="B111" s="140"/>
      <c r="C111" s="149"/>
      <c r="D111" s="14"/>
      <c r="E111" s="52"/>
      <c r="F111" s="138"/>
      <c r="G111" s="43"/>
      <c r="H111" s="43"/>
      <c r="I111" s="38">
        <f t="shared" si="1"/>
        <v>0</v>
      </c>
      <c r="J111" s="25">
        <f t="shared" si="2"/>
        <v>0</v>
      </c>
      <c r="K111" s="56"/>
      <c r="L111" s="252" t="s">
        <v>177</v>
      </c>
      <c r="M111" s="29" t="str">
        <f t="shared" si="3"/>
        <v>CRITICO</v>
      </c>
    </row>
    <row r="112" ht="15.75" customHeight="1">
      <c r="B112" s="140"/>
      <c r="C112" s="149"/>
      <c r="D112" s="14"/>
      <c r="E112" s="52"/>
      <c r="F112" s="138"/>
      <c r="G112" s="43"/>
      <c r="H112" s="43"/>
      <c r="I112" s="38">
        <f t="shared" si="1"/>
        <v>0</v>
      </c>
      <c r="J112" s="25">
        <f t="shared" si="2"/>
        <v>0</v>
      </c>
      <c r="K112" s="56"/>
      <c r="L112" s="252" t="s">
        <v>177</v>
      </c>
      <c r="M112" s="29" t="str">
        <f t="shared" si="3"/>
        <v>CRITICO</v>
      </c>
    </row>
    <row r="113" ht="15.75" customHeight="1">
      <c r="B113" s="140"/>
      <c r="C113" s="149"/>
      <c r="D113" s="14"/>
      <c r="E113" s="52"/>
      <c r="F113" s="138"/>
      <c r="G113" s="43"/>
      <c r="H113" s="43"/>
      <c r="I113" s="38">
        <f t="shared" si="1"/>
        <v>0</v>
      </c>
      <c r="J113" s="25">
        <f t="shared" si="2"/>
        <v>0</v>
      </c>
      <c r="K113" s="56"/>
      <c r="L113" s="252" t="s">
        <v>177</v>
      </c>
      <c r="M113" s="29" t="str">
        <f t="shared" si="3"/>
        <v>CRITICO</v>
      </c>
    </row>
    <row r="114" ht="15.75" customHeight="1">
      <c r="B114" s="140"/>
      <c r="C114" s="149"/>
      <c r="D114" s="14"/>
      <c r="E114" s="52"/>
      <c r="F114" s="138"/>
      <c r="G114" s="43"/>
      <c r="H114" s="43"/>
      <c r="I114" s="38">
        <f t="shared" si="1"/>
        <v>0</v>
      </c>
      <c r="J114" s="25">
        <f t="shared" si="2"/>
        <v>0</v>
      </c>
      <c r="K114" s="56"/>
      <c r="L114" s="252" t="s">
        <v>177</v>
      </c>
      <c r="M114" s="29" t="str">
        <f t="shared" si="3"/>
        <v>CRITICO</v>
      </c>
    </row>
    <row r="115" ht="15.75" customHeight="1">
      <c r="B115" s="140"/>
      <c r="C115" s="149"/>
      <c r="D115" s="14"/>
      <c r="E115" s="52"/>
      <c r="F115" s="138"/>
      <c r="G115" s="43"/>
      <c r="H115" s="43"/>
      <c r="I115" s="38">
        <f t="shared" si="1"/>
        <v>0</v>
      </c>
      <c r="J115" s="25">
        <f t="shared" si="2"/>
        <v>0</v>
      </c>
      <c r="K115" s="56"/>
      <c r="L115" s="14" t="s">
        <v>177</v>
      </c>
      <c r="M115" s="29" t="str">
        <f t="shared" si="3"/>
        <v>CRITICO</v>
      </c>
    </row>
    <row r="116" ht="15.75" customHeight="1">
      <c r="B116" s="140"/>
      <c r="C116" s="149"/>
      <c r="D116" s="14"/>
      <c r="E116" s="52"/>
      <c r="F116" s="138"/>
      <c r="G116" s="43"/>
      <c r="H116" s="43"/>
      <c r="I116" s="38">
        <f t="shared" si="1"/>
        <v>0</v>
      </c>
      <c r="J116" s="25">
        <f t="shared" si="2"/>
        <v>0</v>
      </c>
      <c r="K116" s="56"/>
      <c r="L116" s="14" t="s">
        <v>177</v>
      </c>
      <c r="M116" s="29" t="str">
        <f t="shared" si="3"/>
        <v>CRITICO</v>
      </c>
    </row>
    <row r="117" ht="15.75" customHeight="1">
      <c r="B117" s="140"/>
      <c r="C117" s="149"/>
      <c r="D117" s="14"/>
      <c r="E117" s="52"/>
      <c r="F117" s="254"/>
      <c r="G117" s="43"/>
      <c r="H117" s="43"/>
      <c r="I117" s="255">
        <f t="shared" si="1"/>
        <v>0</v>
      </c>
      <c r="J117" s="25">
        <f t="shared" si="2"/>
        <v>0</v>
      </c>
      <c r="K117" s="56"/>
      <c r="L117" s="14" t="s">
        <v>177</v>
      </c>
      <c r="M117" s="29" t="str">
        <f t="shared" si="3"/>
        <v>CRITICO</v>
      </c>
    </row>
    <row r="118" ht="15.75" customHeight="1">
      <c r="B118" s="140"/>
      <c r="C118" s="149"/>
      <c r="D118" s="14"/>
      <c r="E118" s="52"/>
      <c r="F118" s="138"/>
      <c r="G118" s="43"/>
      <c r="H118" s="43"/>
      <c r="I118" s="38">
        <f t="shared" si="1"/>
        <v>0</v>
      </c>
      <c r="J118" s="25">
        <f t="shared" si="2"/>
        <v>0</v>
      </c>
      <c r="K118" s="56"/>
      <c r="L118" s="14" t="s">
        <v>177</v>
      </c>
      <c r="M118" s="29" t="str">
        <f t="shared" si="3"/>
        <v>CRITICO</v>
      </c>
    </row>
    <row r="119" ht="15.75" customHeight="1">
      <c r="B119" s="140"/>
      <c r="C119" s="149"/>
      <c r="D119" s="14"/>
      <c r="E119" s="52"/>
      <c r="F119" s="138"/>
      <c r="G119" s="43"/>
      <c r="H119" s="43"/>
      <c r="I119" s="38">
        <f t="shared" si="1"/>
        <v>0</v>
      </c>
      <c r="J119" s="25">
        <f t="shared" si="2"/>
        <v>0</v>
      </c>
      <c r="K119" s="56"/>
      <c r="L119" s="14" t="s">
        <v>177</v>
      </c>
      <c r="M119" s="29" t="str">
        <f t="shared" si="3"/>
        <v>CRITICO</v>
      </c>
    </row>
    <row r="120" ht="15.75" customHeight="1">
      <c r="B120" s="140"/>
      <c r="C120" s="149"/>
      <c r="D120" s="14"/>
      <c r="E120" s="52"/>
      <c r="F120" s="138"/>
      <c r="G120" s="43"/>
      <c r="H120" s="43"/>
      <c r="I120" s="38">
        <f t="shared" si="1"/>
        <v>0</v>
      </c>
      <c r="J120" s="25">
        <f t="shared" si="2"/>
        <v>0</v>
      </c>
      <c r="K120" s="56"/>
      <c r="L120" s="14" t="s">
        <v>177</v>
      </c>
      <c r="M120" s="29" t="str">
        <f t="shared" si="3"/>
        <v>CRITICO</v>
      </c>
    </row>
    <row r="121" ht="15.75" customHeight="1">
      <c r="B121" s="140"/>
      <c r="C121" s="149"/>
      <c r="D121" s="38"/>
      <c r="E121" s="52"/>
      <c r="F121" s="138"/>
      <c r="G121" s="43"/>
      <c r="H121" s="43"/>
      <c r="I121" s="38">
        <f t="shared" si="1"/>
        <v>0</v>
      </c>
      <c r="J121" s="25">
        <f t="shared" si="2"/>
        <v>0</v>
      </c>
      <c r="K121" s="56"/>
      <c r="L121" s="54" t="s">
        <v>177</v>
      </c>
      <c r="M121" s="29" t="str">
        <f t="shared" si="3"/>
        <v>CRITICO</v>
      </c>
    </row>
    <row r="122" ht="15.75" customHeight="1">
      <c r="B122" s="140"/>
      <c r="C122" s="149"/>
      <c r="D122" s="38"/>
      <c r="E122" s="52"/>
      <c r="F122" s="175"/>
      <c r="G122" s="43"/>
      <c r="H122" s="43"/>
      <c r="I122" s="177">
        <f t="shared" si="1"/>
        <v>0</v>
      </c>
      <c r="J122" s="25">
        <f t="shared" si="2"/>
        <v>0</v>
      </c>
      <c r="K122" s="56"/>
      <c r="L122" s="54" t="s">
        <v>177</v>
      </c>
      <c r="M122" s="29" t="str">
        <f t="shared" si="3"/>
        <v>CRITICO</v>
      </c>
    </row>
    <row r="123" ht="15.75" customHeight="1">
      <c r="B123" s="140"/>
      <c r="C123" s="149"/>
      <c r="D123" s="38"/>
      <c r="E123" s="52"/>
      <c r="F123" s="175"/>
      <c r="G123" s="43"/>
      <c r="H123" s="43"/>
      <c r="I123" s="177">
        <f t="shared" si="1"/>
        <v>0</v>
      </c>
      <c r="J123" s="25">
        <f t="shared" si="2"/>
        <v>0</v>
      </c>
      <c r="K123" s="56"/>
      <c r="L123" s="54" t="s">
        <v>177</v>
      </c>
      <c r="M123" s="29" t="str">
        <f t="shared" si="3"/>
        <v>CRITICO</v>
      </c>
    </row>
    <row r="124" ht="15.75" customHeight="1">
      <c r="B124" s="140"/>
      <c r="C124" s="149"/>
      <c r="D124" s="38"/>
      <c r="E124" s="52"/>
      <c r="F124" s="138"/>
      <c r="G124" s="43"/>
      <c r="H124" s="43"/>
      <c r="I124" s="38">
        <f t="shared" si="1"/>
        <v>0</v>
      </c>
      <c r="J124" s="25">
        <f t="shared" si="2"/>
        <v>0</v>
      </c>
      <c r="K124" s="56"/>
      <c r="L124" s="54" t="s">
        <v>177</v>
      </c>
      <c r="M124" s="29" t="str">
        <f t="shared" si="3"/>
        <v>CRITICO</v>
      </c>
    </row>
    <row r="125" ht="15.75" customHeight="1">
      <c r="B125" s="140"/>
      <c r="C125" s="149"/>
      <c r="D125" s="38"/>
      <c r="E125" s="52"/>
      <c r="F125" s="138"/>
      <c r="G125" s="43"/>
      <c r="H125" s="43"/>
      <c r="I125" s="38">
        <f t="shared" si="1"/>
        <v>0</v>
      </c>
      <c r="J125" s="25">
        <f t="shared" si="2"/>
        <v>0</v>
      </c>
      <c r="K125" s="56"/>
      <c r="L125" s="54" t="s">
        <v>177</v>
      </c>
      <c r="M125" s="29" t="str">
        <f t="shared" si="3"/>
        <v>CRITICO</v>
      </c>
    </row>
    <row r="126" ht="15.75" customHeight="1">
      <c r="B126" s="140"/>
      <c r="C126" s="149"/>
      <c r="D126" s="38"/>
      <c r="E126" s="52"/>
      <c r="F126" s="138"/>
      <c r="G126" s="43"/>
      <c r="H126" s="43"/>
      <c r="I126" s="38">
        <f t="shared" si="1"/>
        <v>0</v>
      </c>
      <c r="J126" s="25">
        <f t="shared" si="2"/>
        <v>0</v>
      </c>
      <c r="K126" s="56"/>
      <c r="L126" s="54" t="s">
        <v>177</v>
      </c>
      <c r="M126" s="29" t="str">
        <f t="shared" si="3"/>
        <v>CRITICO</v>
      </c>
    </row>
    <row r="127" ht="15.75" customHeight="1">
      <c r="B127" s="140"/>
      <c r="C127" s="149"/>
      <c r="D127" s="38"/>
      <c r="E127" s="52"/>
      <c r="F127" s="138"/>
      <c r="G127" s="43"/>
      <c r="H127" s="43"/>
      <c r="I127" s="38">
        <f t="shared" si="1"/>
        <v>0</v>
      </c>
      <c r="J127" s="25">
        <f t="shared" si="2"/>
        <v>0</v>
      </c>
      <c r="K127" s="56"/>
      <c r="L127" s="54" t="s">
        <v>177</v>
      </c>
      <c r="M127" s="29" t="str">
        <f t="shared" si="3"/>
        <v>CRITICO</v>
      </c>
    </row>
    <row r="128" ht="15.75" customHeight="1">
      <c r="B128" s="140"/>
      <c r="C128" s="257"/>
      <c r="D128" s="38"/>
      <c r="E128" s="52"/>
      <c r="F128" s="138"/>
      <c r="G128" s="43"/>
      <c r="H128" s="43"/>
      <c r="I128" s="38">
        <f t="shared" si="1"/>
        <v>0</v>
      </c>
      <c r="J128" s="25">
        <f t="shared" si="2"/>
        <v>0</v>
      </c>
      <c r="K128" s="56"/>
      <c r="L128" s="54" t="s">
        <v>177</v>
      </c>
      <c r="M128" s="29" t="str">
        <f t="shared" si="3"/>
        <v>CRITICO</v>
      </c>
    </row>
    <row r="129" ht="15.75" customHeight="1">
      <c r="B129" s="140"/>
      <c r="C129" s="257"/>
      <c r="D129" s="38"/>
      <c r="E129" s="52"/>
      <c r="F129" s="138"/>
      <c r="G129" s="43"/>
      <c r="H129" s="43"/>
      <c r="I129" s="38">
        <f t="shared" si="1"/>
        <v>0</v>
      </c>
      <c r="J129" s="25">
        <f t="shared" si="2"/>
        <v>0</v>
      </c>
      <c r="K129" s="56"/>
      <c r="L129" s="54" t="s">
        <v>177</v>
      </c>
      <c r="M129" s="29" t="str">
        <f t="shared" si="3"/>
        <v>CRITICO</v>
      </c>
    </row>
    <row r="130" ht="15.75" customHeight="1">
      <c r="B130" s="140"/>
      <c r="C130" s="257"/>
      <c r="D130" s="38"/>
      <c r="E130" s="52"/>
      <c r="F130" s="138"/>
      <c r="G130" s="43"/>
      <c r="H130" s="43"/>
      <c r="I130" s="38">
        <f t="shared" si="1"/>
        <v>0</v>
      </c>
      <c r="J130" s="25">
        <f t="shared" si="2"/>
        <v>0</v>
      </c>
      <c r="K130" s="56"/>
      <c r="L130" s="54" t="s">
        <v>177</v>
      </c>
      <c r="M130" s="29" t="str">
        <f t="shared" si="3"/>
        <v>CRITICO</v>
      </c>
    </row>
    <row r="131" ht="15.75" customHeight="1">
      <c r="B131" s="140"/>
      <c r="C131" s="149"/>
      <c r="D131" s="38"/>
      <c r="E131" s="52"/>
      <c r="F131" s="138"/>
      <c r="G131" s="43"/>
      <c r="H131" s="43"/>
      <c r="I131" s="38">
        <f t="shared" si="1"/>
        <v>0</v>
      </c>
      <c r="J131" s="25">
        <f t="shared" si="2"/>
        <v>0</v>
      </c>
      <c r="K131" s="56"/>
      <c r="L131" s="54" t="s">
        <v>177</v>
      </c>
      <c r="M131" s="29" t="str">
        <f t="shared" si="3"/>
        <v>CRITICO</v>
      </c>
    </row>
    <row r="132" ht="15.75" customHeight="1">
      <c r="B132" s="140"/>
      <c r="C132" s="249"/>
      <c r="D132" s="38"/>
      <c r="E132" s="52"/>
      <c r="F132" s="138"/>
      <c r="G132" s="43"/>
      <c r="H132" s="43"/>
      <c r="I132" s="38">
        <f t="shared" si="1"/>
        <v>0</v>
      </c>
      <c r="J132" s="25">
        <f t="shared" si="2"/>
        <v>0</v>
      </c>
      <c r="K132" s="56"/>
      <c r="L132" s="54" t="s">
        <v>177</v>
      </c>
      <c r="M132" s="29" t="str">
        <f t="shared" si="3"/>
        <v>CRITICO</v>
      </c>
    </row>
    <row r="133" ht="15.75" customHeight="1">
      <c r="B133" s="140"/>
      <c r="C133" s="249"/>
      <c r="D133" s="38"/>
      <c r="E133" s="52"/>
      <c r="F133" s="138"/>
      <c r="G133" s="43"/>
      <c r="H133" s="43"/>
      <c r="I133" s="38">
        <f t="shared" si="1"/>
        <v>0</v>
      </c>
      <c r="J133" s="25">
        <f t="shared" si="2"/>
        <v>0</v>
      </c>
      <c r="K133" s="56"/>
      <c r="L133" s="54" t="s">
        <v>177</v>
      </c>
      <c r="M133" s="29" t="str">
        <f t="shared" si="3"/>
        <v>CRITICO</v>
      </c>
    </row>
    <row r="134" ht="15.75" customHeight="1">
      <c r="B134" s="140"/>
      <c r="C134" s="249"/>
      <c r="D134" s="38"/>
      <c r="E134" s="52"/>
      <c r="F134" s="138"/>
      <c r="G134" s="43"/>
      <c r="H134" s="43"/>
      <c r="I134" s="38">
        <f t="shared" si="1"/>
        <v>0</v>
      </c>
      <c r="J134" s="25">
        <f t="shared" si="2"/>
        <v>0</v>
      </c>
      <c r="K134" s="56"/>
      <c r="L134" s="54" t="s">
        <v>177</v>
      </c>
      <c r="M134" s="29" t="str">
        <f t="shared" si="3"/>
        <v>CRITICO</v>
      </c>
    </row>
    <row r="135" ht="15.75" customHeight="1">
      <c r="B135" s="140"/>
      <c r="C135" s="249"/>
      <c r="D135" s="38"/>
      <c r="E135" s="52"/>
      <c r="F135" s="138"/>
      <c r="G135" s="43"/>
      <c r="H135" s="43"/>
      <c r="I135" s="38">
        <f t="shared" si="1"/>
        <v>0</v>
      </c>
      <c r="J135" s="25">
        <f t="shared" si="2"/>
        <v>0</v>
      </c>
      <c r="K135" s="56"/>
      <c r="L135" s="54" t="s">
        <v>177</v>
      </c>
      <c r="M135" s="29" t="str">
        <f t="shared" si="3"/>
        <v>CRITICO</v>
      </c>
    </row>
    <row r="136" ht="15.75" customHeight="1">
      <c r="B136" s="140"/>
      <c r="C136" s="249"/>
      <c r="D136" s="38"/>
      <c r="E136" s="52"/>
      <c r="F136" s="138"/>
      <c r="G136" s="43"/>
      <c r="H136" s="43"/>
      <c r="I136" s="38">
        <f t="shared" si="1"/>
        <v>0</v>
      </c>
      <c r="J136" s="25">
        <f t="shared" si="2"/>
        <v>0</v>
      </c>
      <c r="K136" s="56"/>
      <c r="L136" s="54" t="s">
        <v>177</v>
      </c>
      <c r="M136" s="29" t="str">
        <f t="shared" si="3"/>
        <v>CRITICO</v>
      </c>
    </row>
    <row r="137" ht="15.75" customHeight="1">
      <c r="B137" s="140"/>
      <c r="C137" s="249"/>
      <c r="D137" s="38"/>
      <c r="E137" s="52"/>
      <c r="F137" s="138"/>
      <c r="G137" s="43"/>
      <c r="H137" s="43"/>
      <c r="I137" s="38">
        <f t="shared" si="1"/>
        <v>0</v>
      </c>
      <c r="J137" s="25">
        <f t="shared" si="2"/>
        <v>0</v>
      </c>
      <c r="K137" s="56"/>
      <c r="L137" s="54" t="s">
        <v>177</v>
      </c>
      <c r="M137" s="29" t="str">
        <f t="shared" si="3"/>
        <v>CRITICO</v>
      </c>
    </row>
    <row r="138" ht="15.75" customHeight="1">
      <c r="B138" s="140"/>
      <c r="C138" s="249"/>
      <c r="D138" s="38"/>
      <c r="E138" s="52"/>
      <c r="F138" s="138"/>
      <c r="G138" s="43"/>
      <c r="H138" s="43"/>
      <c r="I138" s="38">
        <f t="shared" si="1"/>
        <v>0</v>
      </c>
      <c r="J138" s="25">
        <f t="shared" si="2"/>
        <v>0</v>
      </c>
      <c r="K138" s="56"/>
      <c r="L138" s="54" t="s">
        <v>177</v>
      </c>
      <c r="M138" s="29" t="str">
        <f t="shared" si="3"/>
        <v>CRITICO</v>
      </c>
    </row>
    <row r="139" ht="15.75" customHeight="1">
      <c r="B139" s="140"/>
      <c r="C139" s="249"/>
      <c r="D139" s="38"/>
      <c r="E139" s="52"/>
      <c r="F139" s="138"/>
      <c r="G139" s="43"/>
      <c r="H139" s="43"/>
      <c r="I139" s="38">
        <f t="shared" si="1"/>
        <v>0</v>
      </c>
      <c r="J139" s="25">
        <f t="shared" si="2"/>
        <v>0</v>
      </c>
      <c r="K139" s="56"/>
      <c r="L139" s="54" t="s">
        <v>177</v>
      </c>
      <c r="M139" s="29" t="str">
        <f t="shared" si="3"/>
        <v>CRITICO</v>
      </c>
    </row>
    <row r="140" ht="15.75" customHeight="1">
      <c r="B140" s="140"/>
      <c r="C140" s="249"/>
      <c r="D140" s="38"/>
      <c r="E140" s="52"/>
      <c r="F140" s="138"/>
      <c r="G140" s="43"/>
      <c r="H140" s="43"/>
      <c r="I140" s="38">
        <f t="shared" si="1"/>
        <v>0</v>
      </c>
      <c r="J140" s="25">
        <f t="shared" si="2"/>
        <v>0</v>
      </c>
      <c r="K140" s="56"/>
      <c r="L140" s="54" t="s">
        <v>177</v>
      </c>
      <c r="M140" s="29" t="str">
        <f t="shared" si="3"/>
        <v>CRITICO</v>
      </c>
    </row>
    <row r="141" ht="15.75" customHeight="1">
      <c r="B141" s="140"/>
      <c r="C141" s="249"/>
      <c r="D141" s="38"/>
      <c r="E141" s="52"/>
      <c r="F141" s="138"/>
      <c r="G141" s="43"/>
      <c r="H141" s="43"/>
      <c r="I141" s="38">
        <f t="shared" si="1"/>
        <v>0</v>
      </c>
      <c r="J141" s="25">
        <f t="shared" si="2"/>
        <v>0</v>
      </c>
      <c r="K141" s="56"/>
      <c r="L141" s="54" t="s">
        <v>177</v>
      </c>
      <c r="M141" s="29" t="str">
        <f t="shared" si="3"/>
        <v>CRITICO</v>
      </c>
    </row>
    <row r="142" ht="15.75" customHeight="1">
      <c r="B142" s="140"/>
      <c r="C142" s="249"/>
      <c r="D142" s="38"/>
      <c r="E142" s="52"/>
      <c r="F142" s="138"/>
      <c r="G142" s="43"/>
      <c r="H142" s="43"/>
      <c r="I142" s="38">
        <f t="shared" si="1"/>
        <v>0</v>
      </c>
      <c r="J142" s="25">
        <f t="shared" si="2"/>
        <v>0</v>
      </c>
      <c r="K142" s="56"/>
      <c r="L142" s="54" t="s">
        <v>177</v>
      </c>
      <c r="M142" s="29" t="str">
        <f t="shared" si="3"/>
        <v>CRITICO</v>
      </c>
    </row>
    <row r="143" ht="15.75" customHeight="1">
      <c r="B143" s="140"/>
      <c r="C143" s="249"/>
      <c r="D143" s="38"/>
      <c r="E143" s="52"/>
      <c r="F143" s="138"/>
      <c r="G143" s="43"/>
      <c r="H143" s="43"/>
      <c r="I143" s="38">
        <f t="shared" si="1"/>
        <v>0</v>
      </c>
      <c r="J143" s="25">
        <f t="shared" si="2"/>
        <v>0</v>
      </c>
      <c r="K143" s="56"/>
      <c r="L143" s="54" t="s">
        <v>177</v>
      </c>
      <c r="M143" s="29" t="str">
        <f t="shared" si="3"/>
        <v>CRITICO</v>
      </c>
    </row>
    <row r="144" ht="15.75" customHeight="1">
      <c r="B144" s="140"/>
      <c r="C144" s="249"/>
      <c r="D144" s="38"/>
      <c r="E144" s="52"/>
      <c r="F144" s="138"/>
      <c r="G144" s="43"/>
      <c r="H144" s="43"/>
      <c r="I144" s="38">
        <f t="shared" si="1"/>
        <v>0</v>
      </c>
      <c r="J144" s="25">
        <f t="shared" si="2"/>
        <v>0</v>
      </c>
      <c r="K144" s="56"/>
      <c r="L144" s="54" t="s">
        <v>177</v>
      </c>
      <c r="M144" s="29" t="str">
        <f t="shared" si="3"/>
        <v>CRITICO</v>
      </c>
    </row>
    <row r="145" ht="15.75" customHeight="1">
      <c r="B145" s="140"/>
      <c r="C145" s="216"/>
      <c r="D145" s="38"/>
      <c r="E145" s="52"/>
      <c r="F145" s="138"/>
      <c r="G145" s="43"/>
      <c r="H145" s="43"/>
      <c r="I145" s="38">
        <f t="shared" si="1"/>
        <v>0</v>
      </c>
      <c r="J145" s="25">
        <f t="shared" si="2"/>
        <v>0</v>
      </c>
      <c r="K145" s="56"/>
      <c r="L145" s="54" t="s">
        <v>177</v>
      </c>
      <c r="M145" s="29" t="str">
        <f t="shared" si="3"/>
        <v>CRITICO</v>
      </c>
    </row>
    <row r="146" ht="15.75" customHeight="1">
      <c r="B146" s="140"/>
      <c r="C146" s="216"/>
      <c r="D146" s="38"/>
      <c r="E146" s="52"/>
      <c r="F146" s="138"/>
      <c r="G146" s="43"/>
      <c r="H146" s="43"/>
      <c r="I146" s="38">
        <f t="shared" si="1"/>
        <v>0</v>
      </c>
      <c r="J146" s="25">
        <f t="shared" si="2"/>
        <v>0</v>
      </c>
      <c r="K146" s="56"/>
      <c r="L146" s="54" t="s">
        <v>177</v>
      </c>
      <c r="M146" s="29" t="str">
        <f t="shared" si="3"/>
        <v>CRITICO</v>
      </c>
    </row>
    <row r="147" ht="15.75" customHeight="1">
      <c r="B147" s="140"/>
      <c r="C147" s="249"/>
      <c r="D147" s="38"/>
      <c r="E147" s="52"/>
      <c r="F147" s="138"/>
      <c r="G147" s="43"/>
      <c r="H147" s="43"/>
      <c r="I147" s="38">
        <f t="shared" si="1"/>
        <v>0</v>
      </c>
      <c r="J147" s="25">
        <f t="shared" si="2"/>
        <v>0</v>
      </c>
      <c r="K147" s="56"/>
      <c r="L147" s="54" t="s">
        <v>177</v>
      </c>
      <c r="M147" s="29" t="str">
        <f t="shared" si="3"/>
        <v>CRITICO</v>
      </c>
    </row>
    <row r="148" ht="15.75" customHeight="1">
      <c r="B148" s="140"/>
      <c r="C148" s="216"/>
      <c r="D148" s="38"/>
      <c r="E148" s="52"/>
      <c r="F148" s="138"/>
      <c r="G148" s="43"/>
      <c r="H148" s="43"/>
      <c r="I148" s="38">
        <f t="shared" si="1"/>
        <v>0</v>
      </c>
      <c r="J148" s="25">
        <f t="shared" si="2"/>
        <v>0</v>
      </c>
      <c r="K148" s="56"/>
      <c r="L148" s="54" t="s">
        <v>177</v>
      </c>
      <c r="M148" s="29" t="str">
        <f t="shared" si="3"/>
        <v>CRITICO</v>
      </c>
    </row>
    <row r="149" ht="15.75" customHeight="1">
      <c r="B149" s="140"/>
      <c r="C149" s="216"/>
      <c r="D149" s="38"/>
      <c r="E149" s="52"/>
      <c r="F149" s="138"/>
      <c r="G149" s="43"/>
      <c r="H149" s="43"/>
      <c r="I149" s="38">
        <f t="shared" si="1"/>
        <v>0</v>
      </c>
      <c r="J149" s="25">
        <f t="shared" si="2"/>
        <v>0</v>
      </c>
      <c r="K149" s="56"/>
      <c r="L149" s="54" t="s">
        <v>177</v>
      </c>
      <c r="M149" s="29" t="str">
        <f t="shared" si="3"/>
        <v>CRITICO</v>
      </c>
    </row>
    <row r="150" ht="15.75" customHeight="1">
      <c r="B150" s="140"/>
      <c r="C150" s="216"/>
      <c r="D150" s="38"/>
      <c r="E150" s="52"/>
      <c r="F150" s="138"/>
      <c r="G150" s="43"/>
      <c r="H150" s="43"/>
      <c r="I150" s="38">
        <f t="shared" si="1"/>
        <v>0</v>
      </c>
      <c r="J150" s="25">
        <f t="shared" si="2"/>
        <v>0</v>
      </c>
      <c r="K150" s="56"/>
      <c r="L150" s="54" t="s">
        <v>177</v>
      </c>
      <c r="M150" s="29" t="str">
        <f t="shared" si="3"/>
        <v>CRITICO</v>
      </c>
    </row>
    <row r="151" ht="15.75" customHeight="1">
      <c r="B151" s="222"/>
      <c r="C151" s="149"/>
      <c r="D151" s="38"/>
      <c r="E151" s="52"/>
      <c r="F151" s="253"/>
      <c r="G151" s="43"/>
      <c r="H151" s="43"/>
      <c r="I151" s="38">
        <f t="shared" si="1"/>
        <v>0</v>
      </c>
      <c r="J151" s="25">
        <f t="shared" si="2"/>
        <v>0</v>
      </c>
      <c r="K151" s="56"/>
      <c r="L151" s="54" t="s">
        <v>214</v>
      </c>
      <c r="M151" s="29" t="str">
        <f t="shared" si="3"/>
        <v>CRITICO</v>
      </c>
    </row>
    <row r="152" ht="15.75" customHeight="1">
      <c r="B152" s="222"/>
      <c r="C152" s="149"/>
      <c r="D152" s="38"/>
      <c r="E152" s="52"/>
      <c r="F152" s="253"/>
      <c r="G152" s="43"/>
      <c r="H152" s="43"/>
      <c r="I152" s="38">
        <f t="shared" si="1"/>
        <v>0</v>
      </c>
      <c r="J152" s="25">
        <f t="shared" si="2"/>
        <v>0</v>
      </c>
      <c r="K152" s="56"/>
      <c r="L152" s="54" t="s">
        <v>214</v>
      </c>
      <c r="M152" s="29" t="str">
        <f t="shared" si="3"/>
        <v>CRITICO</v>
      </c>
    </row>
    <row r="153" ht="15.75" customHeight="1">
      <c r="B153" s="222"/>
      <c r="C153" s="149"/>
      <c r="D153" s="38"/>
      <c r="E153" s="52"/>
      <c r="F153" s="253"/>
      <c r="G153" s="43"/>
      <c r="H153" s="43"/>
      <c r="I153" s="38">
        <f t="shared" si="1"/>
        <v>0</v>
      </c>
      <c r="J153" s="25">
        <f t="shared" si="2"/>
        <v>0</v>
      </c>
      <c r="K153" s="56"/>
      <c r="L153" s="54" t="s">
        <v>214</v>
      </c>
      <c r="M153" s="29" t="str">
        <f t="shared" si="3"/>
        <v>CRITICO</v>
      </c>
    </row>
    <row r="154" ht="15.75" customHeight="1">
      <c r="B154" s="222"/>
      <c r="C154" s="149"/>
      <c r="D154" s="38"/>
      <c r="E154" s="52"/>
      <c r="F154" s="253"/>
      <c r="G154" s="43"/>
      <c r="H154" s="43"/>
      <c r="I154" s="38">
        <f t="shared" si="1"/>
        <v>0</v>
      </c>
      <c r="J154" s="25">
        <f t="shared" si="2"/>
        <v>0</v>
      </c>
      <c r="K154" s="56"/>
      <c r="L154" s="54" t="s">
        <v>214</v>
      </c>
      <c r="M154" s="29" t="str">
        <f t="shared" si="3"/>
        <v>CRITICO</v>
      </c>
    </row>
    <row r="155" ht="15.75" customHeight="1">
      <c r="B155" s="222"/>
      <c r="C155" s="149"/>
      <c r="D155" s="38"/>
      <c r="E155" s="52"/>
      <c r="F155" s="253"/>
      <c r="G155" s="43"/>
      <c r="H155" s="43"/>
      <c r="I155" s="38">
        <f t="shared" si="1"/>
        <v>0</v>
      </c>
      <c r="J155" s="25">
        <f t="shared" si="2"/>
        <v>0</v>
      </c>
      <c r="K155" s="56"/>
      <c r="L155" s="54" t="s">
        <v>214</v>
      </c>
      <c r="M155" s="29" t="str">
        <f t="shared" si="3"/>
        <v>CRITICO</v>
      </c>
    </row>
    <row r="156" ht="15.75" customHeight="1">
      <c r="B156" s="222"/>
      <c r="C156" s="149"/>
      <c r="D156" s="38"/>
      <c r="E156" s="52"/>
      <c r="F156" s="253"/>
      <c r="G156" s="43"/>
      <c r="H156" s="43"/>
      <c r="I156" s="38">
        <f t="shared" si="1"/>
        <v>0</v>
      </c>
      <c r="J156" s="25">
        <f t="shared" si="2"/>
        <v>0</v>
      </c>
      <c r="K156" s="56"/>
      <c r="L156" s="54" t="s">
        <v>214</v>
      </c>
      <c r="M156" s="29" t="str">
        <f t="shared" si="3"/>
        <v>CRITICO</v>
      </c>
    </row>
    <row r="157" ht="15.75" customHeight="1">
      <c r="B157" s="222"/>
      <c r="C157" s="149"/>
      <c r="D157" s="38"/>
      <c r="E157" s="52"/>
      <c r="F157" s="253"/>
      <c r="G157" s="43"/>
      <c r="H157" s="43"/>
      <c r="I157" s="38">
        <f t="shared" si="1"/>
        <v>0</v>
      </c>
      <c r="J157" s="25">
        <f t="shared" si="2"/>
        <v>0</v>
      </c>
      <c r="K157" s="56"/>
      <c r="L157" s="54" t="s">
        <v>214</v>
      </c>
      <c r="M157" s="29" t="str">
        <f t="shared" si="3"/>
        <v>CRITICO</v>
      </c>
    </row>
    <row r="158" ht="15.75" customHeight="1">
      <c r="B158" s="222"/>
      <c r="C158" s="149"/>
      <c r="D158" s="38"/>
      <c r="E158" s="52"/>
      <c r="F158" s="253"/>
      <c r="G158" s="43"/>
      <c r="H158" s="43"/>
      <c r="I158" s="38">
        <f t="shared" si="1"/>
        <v>0</v>
      </c>
      <c r="J158" s="25">
        <f t="shared" si="2"/>
        <v>0</v>
      </c>
      <c r="K158" s="56"/>
      <c r="L158" s="54" t="s">
        <v>214</v>
      </c>
      <c r="M158" s="29" t="str">
        <f t="shared" si="3"/>
        <v>CRITICO</v>
      </c>
    </row>
    <row r="159" ht="15.75" customHeight="1">
      <c r="B159" s="222"/>
      <c r="C159" s="149"/>
      <c r="D159" s="38"/>
      <c r="E159" s="52"/>
      <c r="F159" s="138"/>
      <c r="G159" s="43"/>
      <c r="H159" s="43"/>
      <c r="I159" s="38">
        <f t="shared" si="1"/>
        <v>0</v>
      </c>
      <c r="J159" s="25">
        <f t="shared" si="2"/>
        <v>0</v>
      </c>
      <c r="K159" s="56"/>
      <c r="L159" s="54" t="s">
        <v>214</v>
      </c>
      <c r="M159" s="29" t="str">
        <f t="shared" si="3"/>
        <v>CRITICO</v>
      </c>
    </row>
    <row r="160" ht="15.75" customHeight="1">
      <c r="B160" s="140"/>
      <c r="C160" s="149"/>
      <c r="D160" s="38"/>
      <c r="E160" s="52"/>
      <c r="F160" s="138"/>
      <c r="G160" s="43"/>
      <c r="H160" s="43"/>
      <c r="I160" s="38">
        <f t="shared" si="1"/>
        <v>0</v>
      </c>
      <c r="J160" s="25">
        <f t="shared" si="2"/>
        <v>0</v>
      </c>
      <c r="K160" s="56"/>
      <c r="L160" s="54" t="s">
        <v>214</v>
      </c>
      <c r="M160" s="29" t="str">
        <f t="shared" si="3"/>
        <v>CRITICO</v>
      </c>
    </row>
    <row r="161" ht="15.75" customHeight="1">
      <c r="B161" s="140"/>
      <c r="C161" s="149"/>
      <c r="D161" s="38"/>
      <c r="E161" s="52"/>
      <c r="F161" s="138"/>
      <c r="G161" s="43"/>
      <c r="H161" s="43"/>
      <c r="I161" s="38">
        <f t="shared" si="1"/>
        <v>0</v>
      </c>
      <c r="J161" s="25">
        <f t="shared" si="2"/>
        <v>0</v>
      </c>
      <c r="K161" s="56"/>
      <c r="L161" s="54" t="s">
        <v>177</v>
      </c>
      <c r="M161" s="29" t="str">
        <f t="shared" si="3"/>
        <v>CRITICO</v>
      </c>
    </row>
    <row r="162" ht="15.75" customHeight="1">
      <c r="C162" s="149"/>
      <c r="D162" s="38"/>
      <c r="E162" s="52"/>
      <c r="F162" s="138">
        <v>1.0</v>
      </c>
      <c r="G162" s="43"/>
      <c r="H162" s="43"/>
      <c r="I162" s="38">
        <f t="shared" si="1"/>
        <v>1</v>
      </c>
      <c r="J162" s="25">
        <f t="shared" si="2"/>
        <v>0</v>
      </c>
      <c r="K162" s="56"/>
      <c r="L162" s="54" t="s">
        <v>177</v>
      </c>
      <c r="M162" s="29" t="str">
        <f t="shared" si="3"/>
        <v>CRITICO</v>
      </c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B1:M1"/>
  </mergeCells>
  <conditionalFormatting sqref="M3:M35">
    <cfRule type="expression" dxfId="0" priority="1" stopIfTrue="1">
      <formula>J3=0</formula>
    </cfRule>
  </conditionalFormatting>
  <conditionalFormatting sqref="M3:M35">
    <cfRule type="expression" dxfId="1" priority="2" stopIfTrue="1">
      <formula>AND(J3&gt;0,J3&lt;0.5)</formula>
    </cfRule>
  </conditionalFormatting>
  <conditionalFormatting sqref="M3:M35">
    <cfRule type="expression" dxfId="2" priority="3" stopIfTrue="1">
      <formula>+J3&gt;=0.5</formula>
    </cfRule>
  </conditionalFormatting>
  <conditionalFormatting sqref="M36">
    <cfRule type="expression" dxfId="0" priority="4" stopIfTrue="1">
      <formula>J36=0</formula>
    </cfRule>
  </conditionalFormatting>
  <conditionalFormatting sqref="M36">
    <cfRule type="expression" dxfId="1" priority="5" stopIfTrue="1">
      <formula>AND(J36&gt;0,J36&lt;0.5)</formula>
    </cfRule>
  </conditionalFormatting>
  <conditionalFormatting sqref="M36">
    <cfRule type="expression" dxfId="2" priority="6" stopIfTrue="1">
      <formula>+J36&gt;=0.5</formula>
    </cfRule>
  </conditionalFormatting>
  <conditionalFormatting sqref="M37:M42">
    <cfRule type="expression" dxfId="0" priority="7" stopIfTrue="1">
      <formula>J37=0</formula>
    </cfRule>
  </conditionalFormatting>
  <conditionalFormatting sqref="M37:M42">
    <cfRule type="expression" dxfId="1" priority="8" stopIfTrue="1">
      <formula>AND(J37&gt;0,J37&lt;0.5)</formula>
    </cfRule>
  </conditionalFormatting>
  <conditionalFormatting sqref="M37:M42">
    <cfRule type="expression" dxfId="2" priority="9" stopIfTrue="1">
      <formula>+J37&gt;=0.5</formula>
    </cfRule>
  </conditionalFormatting>
  <conditionalFormatting sqref="M43">
    <cfRule type="expression" dxfId="0" priority="10" stopIfTrue="1">
      <formula>J43=0</formula>
    </cfRule>
  </conditionalFormatting>
  <conditionalFormatting sqref="M43">
    <cfRule type="expression" dxfId="1" priority="11" stopIfTrue="1">
      <formula>AND(J43&gt;0,J43&lt;0.5)</formula>
    </cfRule>
  </conditionalFormatting>
  <conditionalFormatting sqref="M43">
    <cfRule type="expression" dxfId="2" priority="12" stopIfTrue="1">
      <formula>+J43&gt;=0.5</formula>
    </cfRule>
  </conditionalFormatting>
  <conditionalFormatting sqref="M44">
    <cfRule type="expression" dxfId="0" priority="13" stopIfTrue="1">
      <formula>J44=0</formula>
    </cfRule>
  </conditionalFormatting>
  <conditionalFormatting sqref="M44">
    <cfRule type="expression" dxfId="1" priority="14" stopIfTrue="1">
      <formula>AND(J44&gt;0,J44&lt;0.5)</formula>
    </cfRule>
  </conditionalFormatting>
  <conditionalFormatting sqref="M44">
    <cfRule type="expression" dxfId="2" priority="15" stopIfTrue="1">
      <formula>+J44&gt;=0.5</formula>
    </cfRule>
  </conditionalFormatting>
  <conditionalFormatting sqref="M45">
    <cfRule type="expression" dxfId="0" priority="16" stopIfTrue="1">
      <formula>J45=0</formula>
    </cfRule>
  </conditionalFormatting>
  <conditionalFormatting sqref="M45">
    <cfRule type="expression" dxfId="1" priority="17" stopIfTrue="1">
      <formula>AND(J45&gt;0,J45&lt;0.5)</formula>
    </cfRule>
  </conditionalFormatting>
  <conditionalFormatting sqref="M45">
    <cfRule type="expression" dxfId="2" priority="18" stopIfTrue="1">
      <formula>+J45&gt;=0.5</formula>
    </cfRule>
  </conditionalFormatting>
  <conditionalFormatting sqref="M46:M50">
    <cfRule type="expression" dxfId="0" priority="19" stopIfTrue="1">
      <formula>J46=0</formula>
    </cfRule>
  </conditionalFormatting>
  <conditionalFormatting sqref="M46:M50">
    <cfRule type="expression" dxfId="1" priority="20" stopIfTrue="1">
      <formula>AND(J46&gt;0,J46&lt;0.5)</formula>
    </cfRule>
  </conditionalFormatting>
  <conditionalFormatting sqref="M46:M50">
    <cfRule type="expression" dxfId="2" priority="21" stopIfTrue="1">
      <formula>+J46&gt;=0.5</formula>
    </cfRule>
  </conditionalFormatting>
  <conditionalFormatting sqref="M51:M52">
    <cfRule type="expression" dxfId="0" priority="22" stopIfTrue="1">
      <formula>J51=0</formula>
    </cfRule>
  </conditionalFormatting>
  <conditionalFormatting sqref="M51:M52">
    <cfRule type="expression" dxfId="1" priority="23" stopIfTrue="1">
      <formula>AND(J51&gt;0,J51&lt;0.5)</formula>
    </cfRule>
  </conditionalFormatting>
  <conditionalFormatting sqref="M51:M52">
    <cfRule type="expression" dxfId="2" priority="24" stopIfTrue="1">
      <formula>+J51&gt;=0.5</formula>
    </cfRule>
  </conditionalFormatting>
  <conditionalFormatting sqref="M53:M54">
    <cfRule type="expression" dxfId="0" priority="25" stopIfTrue="1">
      <formula>J53=0</formula>
    </cfRule>
  </conditionalFormatting>
  <conditionalFormatting sqref="M53:M54">
    <cfRule type="expression" dxfId="1" priority="26" stopIfTrue="1">
      <formula>AND(J53&gt;0,J53&lt;0.5)</formula>
    </cfRule>
  </conditionalFormatting>
  <conditionalFormatting sqref="M53:M54">
    <cfRule type="expression" dxfId="2" priority="27" stopIfTrue="1">
      <formula>+J53&gt;=0.5</formula>
    </cfRule>
  </conditionalFormatting>
  <conditionalFormatting sqref="M55:M61">
    <cfRule type="expression" dxfId="0" priority="28" stopIfTrue="1">
      <formula>J55=0</formula>
    </cfRule>
  </conditionalFormatting>
  <conditionalFormatting sqref="M55:M61">
    <cfRule type="expression" dxfId="1" priority="29" stopIfTrue="1">
      <formula>AND(J55&gt;0,J55&lt;0.5)</formula>
    </cfRule>
  </conditionalFormatting>
  <conditionalFormatting sqref="M55:M61">
    <cfRule type="expression" dxfId="2" priority="30" stopIfTrue="1">
      <formula>+J55&gt;=0.5</formula>
    </cfRule>
  </conditionalFormatting>
  <conditionalFormatting sqref="M62:M63">
    <cfRule type="expression" dxfId="0" priority="31" stopIfTrue="1">
      <formula>J62=0</formula>
    </cfRule>
  </conditionalFormatting>
  <conditionalFormatting sqref="M62:M63">
    <cfRule type="expression" dxfId="1" priority="32" stopIfTrue="1">
      <formula>AND(J62&gt;0,J62&lt;0.5)</formula>
    </cfRule>
  </conditionalFormatting>
  <conditionalFormatting sqref="M62:M63">
    <cfRule type="expression" dxfId="2" priority="33" stopIfTrue="1">
      <formula>+J62&gt;=0.5</formula>
    </cfRule>
  </conditionalFormatting>
  <conditionalFormatting sqref="M64:M75">
    <cfRule type="expression" dxfId="0" priority="34" stopIfTrue="1">
      <formula>J64=0</formula>
    </cfRule>
  </conditionalFormatting>
  <conditionalFormatting sqref="M64:M75">
    <cfRule type="expression" dxfId="1" priority="35" stopIfTrue="1">
      <formula>AND(J64&gt;0,J64&lt;0.5)</formula>
    </cfRule>
  </conditionalFormatting>
  <conditionalFormatting sqref="M64:M75">
    <cfRule type="expression" dxfId="2" priority="36" stopIfTrue="1">
      <formula>+J64&gt;=0.5</formula>
    </cfRule>
  </conditionalFormatting>
  <conditionalFormatting sqref="M76:M82">
    <cfRule type="expression" dxfId="0" priority="37" stopIfTrue="1">
      <formula>J76=0</formula>
    </cfRule>
  </conditionalFormatting>
  <conditionalFormatting sqref="M76:M82">
    <cfRule type="expression" dxfId="1" priority="38" stopIfTrue="1">
      <formula>AND(J76&gt;0,J76&lt;0.5)</formula>
    </cfRule>
  </conditionalFormatting>
  <conditionalFormatting sqref="M76:M82">
    <cfRule type="expression" dxfId="2" priority="39" stopIfTrue="1">
      <formula>+J76&gt;=0.5</formula>
    </cfRule>
  </conditionalFormatting>
  <conditionalFormatting sqref="M83:M84">
    <cfRule type="expression" dxfId="0" priority="40" stopIfTrue="1">
      <formula>J83=0</formula>
    </cfRule>
  </conditionalFormatting>
  <conditionalFormatting sqref="M83:M84">
    <cfRule type="expression" dxfId="1" priority="41" stopIfTrue="1">
      <formula>AND(J83&gt;0,J83&lt;0.5)</formula>
    </cfRule>
  </conditionalFormatting>
  <conditionalFormatting sqref="M83:M84">
    <cfRule type="expression" dxfId="2" priority="42" stopIfTrue="1">
      <formula>+J83&gt;=0.5</formula>
    </cfRule>
  </conditionalFormatting>
  <conditionalFormatting sqref="M85:M87">
    <cfRule type="expression" dxfId="0" priority="43" stopIfTrue="1">
      <formula>J85=0</formula>
    </cfRule>
  </conditionalFormatting>
  <conditionalFormatting sqref="M85:M87">
    <cfRule type="expression" dxfId="1" priority="44" stopIfTrue="1">
      <formula>AND(J85&gt;0,J85&lt;0.5)</formula>
    </cfRule>
  </conditionalFormatting>
  <conditionalFormatting sqref="M85:M87">
    <cfRule type="expression" dxfId="2" priority="45" stopIfTrue="1">
      <formula>+J85&gt;=0.5</formula>
    </cfRule>
  </conditionalFormatting>
  <conditionalFormatting sqref="M88:M106">
    <cfRule type="expression" dxfId="0" priority="46" stopIfTrue="1">
      <formula>J88=0</formula>
    </cfRule>
  </conditionalFormatting>
  <conditionalFormatting sqref="M88:M106">
    <cfRule type="expression" dxfId="1" priority="47" stopIfTrue="1">
      <formula>AND(J88&gt;0,J88&lt;0.5)</formula>
    </cfRule>
  </conditionalFormatting>
  <conditionalFormatting sqref="M88:M106">
    <cfRule type="expression" dxfId="2" priority="48" stopIfTrue="1">
      <formula>+J88&gt;=0.5</formula>
    </cfRule>
  </conditionalFormatting>
  <conditionalFormatting sqref="M107">
    <cfRule type="expression" dxfId="0" priority="49" stopIfTrue="1">
      <formula>J107=0</formula>
    </cfRule>
  </conditionalFormatting>
  <conditionalFormatting sqref="M107">
    <cfRule type="expression" dxfId="1" priority="50" stopIfTrue="1">
      <formula>AND(J107&gt;0,J107&lt;0.5)</formula>
    </cfRule>
  </conditionalFormatting>
  <conditionalFormatting sqref="M107">
    <cfRule type="expression" dxfId="2" priority="51" stopIfTrue="1">
      <formula>+J107&gt;=0.5</formula>
    </cfRule>
  </conditionalFormatting>
  <conditionalFormatting sqref="M108">
    <cfRule type="expression" dxfId="0" priority="52" stopIfTrue="1">
      <formula>J108=0</formula>
    </cfRule>
  </conditionalFormatting>
  <conditionalFormatting sqref="M108">
    <cfRule type="expression" dxfId="1" priority="53" stopIfTrue="1">
      <formula>AND(J108&gt;0,J108&lt;0.5)</formula>
    </cfRule>
  </conditionalFormatting>
  <conditionalFormatting sqref="M108">
    <cfRule type="expression" dxfId="2" priority="54" stopIfTrue="1">
      <formula>+J108&gt;=0.5</formula>
    </cfRule>
  </conditionalFormatting>
  <conditionalFormatting sqref="M109:M120">
    <cfRule type="expression" dxfId="0" priority="55" stopIfTrue="1">
      <formula>J109=0</formula>
    </cfRule>
  </conditionalFormatting>
  <conditionalFormatting sqref="M109:M120">
    <cfRule type="expression" dxfId="1" priority="56" stopIfTrue="1">
      <formula>AND(J109&gt;0,J109&lt;0.5)</formula>
    </cfRule>
  </conditionalFormatting>
  <conditionalFormatting sqref="M109:M120">
    <cfRule type="expression" dxfId="2" priority="57" stopIfTrue="1">
      <formula>+J109&gt;=0.5</formula>
    </cfRule>
  </conditionalFormatting>
  <conditionalFormatting sqref="M121">
    <cfRule type="expression" dxfId="0" priority="58" stopIfTrue="1">
      <formula>J121=0</formula>
    </cfRule>
  </conditionalFormatting>
  <conditionalFormatting sqref="M121">
    <cfRule type="expression" dxfId="1" priority="59" stopIfTrue="1">
      <formula>AND(J121&gt;0,J121&lt;0.5)</formula>
    </cfRule>
  </conditionalFormatting>
  <conditionalFormatting sqref="M121">
    <cfRule type="expression" dxfId="2" priority="60" stopIfTrue="1">
      <formula>+J121&gt;=0.5</formula>
    </cfRule>
  </conditionalFormatting>
  <conditionalFormatting sqref="M122">
    <cfRule type="expression" dxfId="0" priority="61" stopIfTrue="1">
      <formula>J122=0</formula>
    </cfRule>
  </conditionalFormatting>
  <conditionalFormatting sqref="M122">
    <cfRule type="expression" dxfId="1" priority="62" stopIfTrue="1">
      <formula>AND(J122&gt;0,J122&lt;0.5)</formula>
    </cfRule>
  </conditionalFormatting>
  <conditionalFormatting sqref="M122">
    <cfRule type="expression" dxfId="2" priority="63" stopIfTrue="1">
      <formula>+J122&gt;=0.5</formula>
    </cfRule>
  </conditionalFormatting>
  <conditionalFormatting sqref="M123">
    <cfRule type="expression" dxfId="0" priority="64" stopIfTrue="1">
      <formula>J123=0</formula>
    </cfRule>
  </conditionalFormatting>
  <conditionalFormatting sqref="M123">
    <cfRule type="expression" dxfId="1" priority="65" stopIfTrue="1">
      <formula>AND(J123&gt;0,J123&lt;0.5)</formula>
    </cfRule>
  </conditionalFormatting>
  <conditionalFormatting sqref="M123">
    <cfRule type="expression" dxfId="2" priority="66" stopIfTrue="1">
      <formula>+J123&gt;=0.5</formula>
    </cfRule>
  </conditionalFormatting>
  <conditionalFormatting sqref="M124">
    <cfRule type="expression" dxfId="0" priority="67" stopIfTrue="1">
      <formula>J124=0</formula>
    </cfRule>
  </conditionalFormatting>
  <conditionalFormatting sqref="M124">
    <cfRule type="expression" dxfId="1" priority="68" stopIfTrue="1">
      <formula>AND(J124&gt;0,J124&lt;0.5)</formula>
    </cfRule>
  </conditionalFormatting>
  <conditionalFormatting sqref="M124">
    <cfRule type="expression" dxfId="2" priority="69" stopIfTrue="1">
      <formula>+J124&gt;=0.5</formula>
    </cfRule>
  </conditionalFormatting>
  <conditionalFormatting sqref="M125:M162">
    <cfRule type="expression" dxfId="0" priority="70" stopIfTrue="1">
      <formula>J125=0</formula>
    </cfRule>
  </conditionalFormatting>
  <conditionalFormatting sqref="M125:M162">
    <cfRule type="expression" dxfId="1" priority="71" stopIfTrue="1">
      <formula>AND(J125&gt;0,J125&lt;0.5)</formula>
    </cfRule>
  </conditionalFormatting>
  <conditionalFormatting sqref="M125:M162">
    <cfRule type="expression" dxfId="2" priority="72" stopIfTrue="1">
      <formula>+J125&gt;=0.5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1.57"/>
    <col customWidth="1" min="3" max="3" width="37.14"/>
    <col customWidth="1" min="4" max="4" width="16.71"/>
    <col customWidth="1" min="5" max="5" width="16.0"/>
    <col customWidth="1" min="6" max="6" width="23.0"/>
    <col customWidth="1" min="7" max="7" width="21.71"/>
    <col customWidth="1" min="8" max="8" width="20.86"/>
    <col customWidth="1" min="10" max="10" width="16.14"/>
    <col customWidth="1" min="11" max="11" width="27.29"/>
    <col customWidth="1" min="12" max="26" width="10.71"/>
  </cols>
  <sheetData>
    <row r="2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7"/>
    </row>
    <row r="3">
      <c r="B3" s="89" t="s">
        <v>4</v>
      </c>
      <c r="C3" s="89" t="s">
        <v>5</v>
      </c>
      <c r="D3" s="89" t="s">
        <v>6</v>
      </c>
      <c r="E3" s="92" t="s">
        <v>7</v>
      </c>
      <c r="F3" s="89" t="s">
        <v>8</v>
      </c>
      <c r="G3" s="89" t="s">
        <v>9</v>
      </c>
      <c r="H3" s="89" t="s">
        <v>10</v>
      </c>
      <c r="I3" s="89" t="s">
        <v>11</v>
      </c>
      <c r="J3" s="89" t="s">
        <v>12</v>
      </c>
      <c r="K3" s="95" t="s">
        <v>170</v>
      </c>
      <c r="L3" s="89" t="s">
        <v>14</v>
      </c>
      <c r="M3" s="89" t="s">
        <v>16</v>
      </c>
    </row>
    <row r="4">
      <c r="B4" s="89" t="s">
        <v>172</v>
      </c>
      <c r="C4" s="97" t="s">
        <v>173</v>
      </c>
      <c r="D4" s="99"/>
      <c r="E4" s="99">
        <v>1.0</v>
      </c>
      <c r="F4" s="102">
        <v>0.0</v>
      </c>
      <c r="G4" s="99"/>
      <c r="H4" s="103"/>
      <c r="I4" s="104">
        <f t="shared" ref="I4:I32" si="1">+F4+G4-H4</f>
        <v>0</v>
      </c>
      <c r="J4" s="109">
        <f t="shared" ref="J4:J32" si="2">+IF(E4=0,0,MIN(MAX((I4-E4)/E4,0),1))</f>
        <v>0</v>
      </c>
      <c r="K4" s="111">
        <v>360000.0</v>
      </c>
      <c r="L4" s="113" t="s">
        <v>178</v>
      </c>
      <c r="M4" s="118" t="str">
        <f t="shared" ref="M4:M29" si="3">+IF(J4=0,"CRITICO",IF(J4&lt;0.5,"ALERTA","BIEN"))</f>
        <v>CRITICO</v>
      </c>
      <c r="N4" s="121">
        <f>(HERRAMIENTAS!N99+HERRAMIENTAS!P99)-HERRAMIENTAS!O99</f>
        <v>1</v>
      </c>
    </row>
    <row r="5">
      <c r="B5" s="89" t="s">
        <v>172</v>
      </c>
      <c r="C5" s="122" t="s">
        <v>183</v>
      </c>
      <c r="D5" s="113"/>
      <c r="E5" s="99">
        <v>1.0</v>
      </c>
      <c r="F5" s="123">
        <v>0.0</v>
      </c>
      <c r="G5" s="113"/>
      <c r="H5" s="103"/>
      <c r="I5" s="125">
        <f t="shared" si="1"/>
        <v>0</v>
      </c>
      <c r="J5" s="109">
        <f t="shared" si="2"/>
        <v>0</v>
      </c>
      <c r="K5" s="111">
        <v>360000.0</v>
      </c>
      <c r="L5" s="113" t="s">
        <v>178</v>
      </c>
      <c r="M5" s="29" t="str">
        <f t="shared" si="3"/>
        <v>CRITICO</v>
      </c>
    </row>
    <row r="6">
      <c r="B6" s="89" t="s">
        <v>172</v>
      </c>
      <c r="C6" s="127" t="s">
        <v>187</v>
      </c>
      <c r="D6" s="129" t="s">
        <v>189</v>
      </c>
      <c r="E6" s="99">
        <v>1.0</v>
      </c>
      <c r="F6" s="103">
        <v>0.5</v>
      </c>
      <c r="G6" s="129"/>
      <c r="H6" s="103"/>
      <c r="I6" s="125">
        <f t="shared" si="1"/>
        <v>0.5</v>
      </c>
      <c r="J6" s="109">
        <f t="shared" si="2"/>
        <v>0</v>
      </c>
      <c r="K6" s="111">
        <v>110000.0</v>
      </c>
      <c r="L6" s="113" t="s">
        <v>178</v>
      </c>
      <c r="M6" s="29" t="str">
        <f t="shared" si="3"/>
        <v>CRITICO</v>
      </c>
    </row>
    <row r="7">
      <c r="B7" s="89" t="s">
        <v>172</v>
      </c>
      <c r="C7" s="131" t="s">
        <v>194</v>
      </c>
      <c r="D7" s="129" t="s">
        <v>195</v>
      </c>
      <c r="E7" s="99">
        <v>1.0</v>
      </c>
      <c r="F7" s="123">
        <v>1.0</v>
      </c>
      <c r="G7" s="113"/>
      <c r="H7" s="103"/>
      <c r="I7" s="125">
        <f t="shared" si="1"/>
        <v>1</v>
      </c>
      <c r="J7" s="109">
        <f t="shared" si="2"/>
        <v>0</v>
      </c>
      <c r="K7" s="133">
        <v>178500.0</v>
      </c>
      <c r="L7" s="113" t="s">
        <v>178</v>
      </c>
      <c r="M7" s="29" t="str">
        <f t="shared" si="3"/>
        <v>CRITICO</v>
      </c>
    </row>
    <row r="8">
      <c r="B8" s="89" t="s">
        <v>172</v>
      </c>
      <c r="C8" s="135" t="s">
        <v>197</v>
      </c>
      <c r="D8" s="129" t="s">
        <v>199</v>
      </c>
      <c r="E8" s="99">
        <v>1.0</v>
      </c>
      <c r="F8" s="123">
        <v>1.0</v>
      </c>
      <c r="G8" s="113"/>
      <c r="H8" s="103"/>
      <c r="I8" s="125">
        <f t="shared" si="1"/>
        <v>1</v>
      </c>
      <c r="J8" s="109">
        <f t="shared" si="2"/>
        <v>0</v>
      </c>
      <c r="K8" s="113"/>
      <c r="L8" s="113" t="s">
        <v>178</v>
      </c>
      <c r="M8" s="29" t="str">
        <f t="shared" si="3"/>
        <v>CRITICO</v>
      </c>
    </row>
    <row r="9">
      <c r="B9" s="89" t="s">
        <v>172</v>
      </c>
      <c r="C9" s="141" t="s">
        <v>202</v>
      </c>
      <c r="D9" s="129" t="s">
        <v>195</v>
      </c>
      <c r="E9" s="123">
        <v>0.25</v>
      </c>
      <c r="F9" s="123">
        <v>0.25</v>
      </c>
      <c r="G9" s="113"/>
      <c r="H9" s="123"/>
      <c r="I9" s="125">
        <f t="shared" si="1"/>
        <v>0.25</v>
      </c>
      <c r="J9" s="109">
        <f t="shared" si="2"/>
        <v>0</v>
      </c>
      <c r="K9" s="111">
        <v>252280.0</v>
      </c>
      <c r="L9" s="113" t="s">
        <v>178</v>
      </c>
      <c r="M9" s="29" t="str">
        <f t="shared" si="3"/>
        <v>CRITICO</v>
      </c>
    </row>
    <row r="10">
      <c r="B10" s="89" t="s">
        <v>172</v>
      </c>
      <c r="C10" s="145" t="s">
        <v>209</v>
      </c>
      <c r="D10" s="129" t="s">
        <v>195</v>
      </c>
      <c r="E10" s="99">
        <v>1.0</v>
      </c>
      <c r="F10" s="123">
        <v>2.0</v>
      </c>
      <c r="G10" s="113"/>
      <c r="H10" s="103"/>
      <c r="I10" s="125">
        <f t="shared" si="1"/>
        <v>2</v>
      </c>
      <c r="J10" s="109">
        <f t="shared" si="2"/>
        <v>1</v>
      </c>
      <c r="K10" s="111">
        <v>252280.0</v>
      </c>
      <c r="L10" s="113" t="s">
        <v>178</v>
      </c>
      <c r="M10" s="29" t="str">
        <f t="shared" si="3"/>
        <v>BIEN</v>
      </c>
    </row>
    <row r="11">
      <c r="B11" s="89" t="s">
        <v>172</v>
      </c>
      <c r="C11" s="148" t="s">
        <v>213</v>
      </c>
      <c r="D11" s="129" t="s">
        <v>195</v>
      </c>
      <c r="E11" s="99">
        <v>1.0</v>
      </c>
      <c r="F11" s="123">
        <v>2.0</v>
      </c>
      <c r="G11" s="113"/>
      <c r="H11" s="103"/>
      <c r="I11" s="125">
        <f t="shared" si="1"/>
        <v>2</v>
      </c>
      <c r="J11" s="109">
        <f t="shared" si="2"/>
        <v>1</v>
      </c>
      <c r="K11" s="111">
        <v>252280.0</v>
      </c>
      <c r="L11" s="113" t="s">
        <v>178</v>
      </c>
      <c r="M11" s="29" t="str">
        <f t="shared" si="3"/>
        <v>BIEN</v>
      </c>
    </row>
    <row r="12">
      <c r="B12" s="89" t="s">
        <v>172</v>
      </c>
      <c r="C12" s="151" t="s">
        <v>218</v>
      </c>
      <c r="D12" s="129" t="s">
        <v>195</v>
      </c>
      <c r="E12" s="99">
        <v>1.0</v>
      </c>
      <c r="F12" s="123">
        <v>2.0</v>
      </c>
      <c r="G12" s="113"/>
      <c r="H12" s="103"/>
      <c r="I12" s="125">
        <f t="shared" si="1"/>
        <v>2</v>
      </c>
      <c r="J12" s="109">
        <f t="shared" si="2"/>
        <v>1</v>
      </c>
      <c r="K12" s="111">
        <v>252280.0</v>
      </c>
      <c r="L12" s="113" t="s">
        <v>178</v>
      </c>
      <c r="M12" s="29" t="str">
        <f t="shared" si="3"/>
        <v>BIEN</v>
      </c>
    </row>
    <row r="13">
      <c r="B13" s="89" t="s">
        <v>172</v>
      </c>
      <c r="C13" s="154" t="s">
        <v>222</v>
      </c>
      <c r="D13" s="113"/>
      <c r="E13" s="99">
        <v>1.0</v>
      </c>
      <c r="F13" s="123">
        <v>1.0</v>
      </c>
      <c r="G13" s="113"/>
      <c r="H13" s="103"/>
      <c r="I13" s="125">
        <f t="shared" si="1"/>
        <v>1</v>
      </c>
      <c r="J13" s="109">
        <f t="shared" si="2"/>
        <v>0</v>
      </c>
      <c r="K13" s="111">
        <v>30000.0</v>
      </c>
      <c r="L13" s="113" t="s">
        <v>178</v>
      </c>
      <c r="M13" s="29" t="str">
        <f t="shared" si="3"/>
        <v>CRITICO</v>
      </c>
    </row>
    <row r="14">
      <c r="B14" s="89" t="s">
        <v>172</v>
      </c>
      <c r="C14" s="155" t="s">
        <v>227</v>
      </c>
      <c r="D14" s="113" t="s">
        <v>189</v>
      </c>
      <c r="E14" s="99">
        <v>1.0</v>
      </c>
      <c r="F14" s="103">
        <v>1.5</v>
      </c>
      <c r="G14" s="113"/>
      <c r="H14" s="103"/>
      <c r="I14" s="125">
        <f t="shared" si="1"/>
        <v>1.5</v>
      </c>
      <c r="J14" s="109">
        <f t="shared" si="2"/>
        <v>0.5</v>
      </c>
      <c r="K14" s="113"/>
      <c r="L14" s="113" t="s">
        <v>178</v>
      </c>
      <c r="M14" s="29" t="str">
        <f t="shared" si="3"/>
        <v>BIEN</v>
      </c>
    </row>
    <row r="15">
      <c r="B15" s="89" t="s">
        <v>172</v>
      </c>
      <c r="C15" s="157" t="s">
        <v>231</v>
      </c>
      <c r="D15" s="129" t="s">
        <v>195</v>
      </c>
      <c r="E15" s="99">
        <v>1.0</v>
      </c>
      <c r="F15" s="103">
        <v>5.0</v>
      </c>
      <c r="G15" s="113"/>
      <c r="H15" s="103"/>
      <c r="I15" s="125">
        <f t="shared" si="1"/>
        <v>5</v>
      </c>
      <c r="J15" s="109">
        <f t="shared" si="2"/>
        <v>1</v>
      </c>
      <c r="K15" s="111">
        <v>43316.0</v>
      </c>
      <c r="L15" s="113" t="s">
        <v>178</v>
      </c>
      <c r="M15" s="29" t="str">
        <f t="shared" si="3"/>
        <v>BIEN</v>
      </c>
    </row>
    <row r="16">
      <c r="B16" s="89" t="s">
        <v>172</v>
      </c>
      <c r="C16" s="158" t="s">
        <v>236</v>
      </c>
      <c r="D16" s="129" t="s">
        <v>237</v>
      </c>
      <c r="E16" s="99">
        <v>1.0</v>
      </c>
      <c r="F16" s="103">
        <v>1.0</v>
      </c>
      <c r="G16" s="113"/>
      <c r="H16" s="103"/>
      <c r="I16" s="125">
        <f t="shared" si="1"/>
        <v>1</v>
      </c>
      <c r="J16" s="109">
        <f t="shared" si="2"/>
        <v>0</v>
      </c>
      <c r="K16" s="111">
        <v>90000.0</v>
      </c>
      <c r="L16" s="113" t="s">
        <v>178</v>
      </c>
      <c r="M16" s="29" t="str">
        <f t="shared" si="3"/>
        <v>CRITICO</v>
      </c>
    </row>
    <row r="17">
      <c r="B17" s="89" t="s">
        <v>172</v>
      </c>
      <c r="C17" s="145" t="s">
        <v>241</v>
      </c>
      <c r="D17" s="129" t="s">
        <v>237</v>
      </c>
      <c r="E17" s="99">
        <v>1.0</v>
      </c>
      <c r="F17" s="123">
        <v>1.0</v>
      </c>
      <c r="G17" s="113"/>
      <c r="H17" s="103"/>
      <c r="I17" s="125">
        <f t="shared" si="1"/>
        <v>1</v>
      </c>
      <c r="J17" s="109">
        <f t="shared" si="2"/>
        <v>0</v>
      </c>
      <c r="K17" s="111">
        <v>110000.0</v>
      </c>
      <c r="L17" s="113" t="s">
        <v>178</v>
      </c>
      <c r="M17" s="29" t="str">
        <f t="shared" si="3"/>
        <v>CRITICO</v>
      </c>
    </row>
    <row r="18">
      <c r="B18" s="89" t="s">
        <v>172</v>
      </c>
      <c r="C18" s="161" t="s">
        <v>245</v>
      </c>
      <c r="D18" s="113"/>
      <c r="E18" s="99">
        <v>5.0</v>
      </c>
      <c r="F18" s="163">
        <v>9.0</v>
      </c>
      <c r="G18" s="113"/>
      <c r="H18" s="103"/>
      <c r="I18" s="125">
        <f t="shared" si="1"/>
        <v>9</v>
      </c>
      <c r="J18" s="109">
        <f t="shared" si="2"/>
        <v>0.8</v>
      </c>
      <c r="K18" s="111">
        <v>2800.0</v>
      </c>
      <c r="L18" s="113" t="s">
        <v>178</v>
      </c>
      <c r="M18" s="113" t="str">
        <f t="shared" si="3"/>
        <v>BIEN</v>
      </c>
    </row>
    <row r="19">
      <c r="B19" s="89" t="s">
        <v>172</v>
      </c>
      <c r="C19" s="161" t="s">
        <v>252</v>
      </c>
      <c r="D19" s="113"/>
      <c r="E19" s="99">
        <v>5.0</v>
      </c>
      <c r="F19" s="163">
        <v>8.0</v>
      </c>
      <c r="G19" s="113"/>
      <c r="H19" s="103"/>
      <c r="I19" s="125">
        <f t="shared" si="1"/>
        <v>8</v>
      </c>
      <c r="J19" s="109">
        <f t="shared" si="2"/>
        <v>0.6</v>
      </c>
      <c r="K19" s="111">
        <v>2800.0</v>
      </c>
      <c r="L19" s="113" t="s">
        <v>178</v>
      </c>
      <c r="M19" s="113" t="str">
        <f t="shared" si="3"/>
        <v>BIEN</v>
      </c>
    </row>
    <row r="20">
      <c r="B20" s="89" t="s">
        <v>172</v>
      </c>
      <c r="C20" s="161" t="s">
        <v>255</v>
      </c>
      <c r="D20" s="113"/>
      <c r="E20" s="99">
        <v>5.0</v>
      </c>
      <c r="F20" s="163">
        <v>9.0</v>
      </c>
      <c r="G20" s="113"/>
      <c r="H20" s="103"/>
      <c r="I20" s="125">
        <f t="shared" si="1"/>
        <v>9</v>
      </c>
      <c r="J20" s="109">
        <f t="shared" si="2"/>
        <v>0.8</v>
      </c>
      <c r="K20" s="111">
        <v>2800.0</v>
      </c>
      <c r="L20" s="113" t="s">
        <v>178</v>
      </c>
      <c r="M20" s="113" t="str">
        <f t="shared" si="3"/>
        <v>BIEN</v>
      </c>
    </row>
    <row r="21" ht="15.75" customHeight="1">
      <c r="B21" s="89" t="s">
        <v>172</v>
      </c>
      <c r="C21" s="161" t="s">
        <v>258</v>
      </c>
      <c r="D21" s="113"/>
      <c r="E21" s="99">
        <v>5.0</v>
      </c>
      <c r="F21" s="163">
        <v>8.0</v>
      </c>
      <c r="G21" s="113"/>
      <c r="H21" s="103"/>
      <c r="I21" s="125">
        <f t="shared" si="1"/>
        <v>8</v>
      </c>
      <c r="J21" s="109">
        <f t="shared" si="2"/>
        <v>0.6</v>
      </c>
      <c r="K21" s="111">
        <v>2800.0</v>
      </c>
      <c r="L21" s="113" t="s">
        <v>178</v>
      </c>
      <c r="M21" s="113" t="str">
        <f t="shared" si="3"/>
        <v>BIEN</v>
      </c>
    </row>
    <row r="22" ht="15.75" customHeight="1">
      <c r="B22" s="89" t="s">
        <v>172</v>
      </c>
      <c r="C22" s="166" t="s">
        <v>261</v>
      </c>
      <c r="D22" s="113"/>
      <c r="E22" s="99">
        <v>5.0</v>
      </c>
      <c r="F22" s="167">
        <v>24.0</v>
      </c>
      <c r="G22" s="113"/>
      <c r="H22" s="123"/>
      <c r="I22" s="125">
        <f t="shared" si="1"/>
        <v>24</v>
      </c>
      <c r="J22" s="109">
        <f t="shared" si="2"/>
        <v>1</v>
      </c>
      <c r="K22" s="111">
        <v>2800.0</v>
      </c>
      <c r="L22" s="113" t="s">
        <v>178</v>
      </c>
      <c r="M22" s="113" t="str">
        <f t="shared" si="3"/>
        <v>BIEN</v>
      </c>
    </row>
    <row r="23" ht="15.75" customHeight="1">
      <c r="B23" s="89" t="s">
        <v>172</v>
      </c>
      <c r="C23" s="166" t="s">
        <v>264</v>
      </c>
      <c r="D23" s="113"/>
      <c r="E23" s="99">
        <v>5.0</v>
      </c>
      <c r="F23" s="167">
        <v>30.0</v>
      </c>
      <c r="G23" s="113"/>
      <c r="H23" s="123"/>
      <c r="I23" s="125">
        <f t="shared" si="1"/>
        <v>30</v>
      </c>
      <c r="J23" s="109">
        <f t="shared" si="2"/>
        <v>1</v>
      </c>
      <c r="K23" s="111">
        <v>2800.0</v>
      </c>
      <c r="L23" s="113" t="s">
        <v>178</v>
      </c>
      <c r="M23" s="113" t="str">
        <f t="shared" si="3"/>
        <v>BIEN</v>
      </c>
    </row>
    <row r="24" ht="15.75" customHeight="1">
      <c r="B24" s="89" t="s">
        <v>172</v>
      </c>
      <c r="C24" s="166" t="s">
        <v>269</v>
      </c>
      <c r="D24" s="113"/>
      <c r="E24" s="99">
        <v>5.0</v>
      </c>
      <c r="F24" s="167">
        <v>15.0</v>
      </c>
      <c r="G24" s="113"/>
      <c r="H24" s="103"/>
      <c r="I24" s="125">
        <f t="shared" si="1"/>
        <v>15</v>
      </c>
      <c r="J24" s="109">
        <f t="shared" si="2"/>
        <v>1</v>
      </c>
      <c r="K24" s="111">
        <v>2800.0</v>
      </c>
      <c r="L24" s="113" t="s">
        <v>178</v>
      </c>
      <c r="M24" s="113" t="str">
        <f t="shared" si="3"/>
        <v>BIEN</v>
      </c>
    </row>
    <row r="25" ht="15.75" customHeight="1">
      <c r="B25" s="89" t="s">
        <v>172</v>
      </c>
      <c r="C25" s="166" t="s">
        <v>272</v>
      </c>
      <c r="D25" s="113"/>
      <c r="E25" s="99">
        <v>5.0</v>
      </c>
      <c r="F25" s="163">
        <v>30.0</v>
      </c>
      <c r="G25" s="113"/>
      <c r="H25" s="103"/>
      <c r="I25" s="125">
        <f t="shared" si="1"/>
        <v>30</v>
      </c>
      <c r="J25" s="109">
        <f t="shared" si="2"/>
        <v>1</v>
      </c>
      <c r="K25" s="111">
        <v>2800.0</v>
      </c>
      <c r="L25" s="113" t="s">
        <v>178</v>
      </c>
      <c r="M25" s="113" t="str">
        <f t="shared" si="3"/>
        <v>BIEN</v>
      </c>
    </row>
    <row r="26" ht="15.75" customHeight="1">
      <c r="B26" s="89" t="s">
        <v>172</v>
      </c>
      <c r="C26" s="113" t="s">
        <v>276</v>
      </c>
      <c r="D26" s="113"/>
      <c r="E26" s="99">
        <v>2.0</v>
      </c>
      <c r="F26" s="163">
        <v>5.0</v>
      </c>
      <c r="G26" s="113"/>
      <c r="H26" s="103"/>
      <c r="I26" s="125">
        <f t="shared" si="1"/>
        <v>5</v>
      </c>
      <c r="J26" s="109">
        <f t="shared" si="2"/>
        <v>1</v>
      </c>
      <c r="K26" s="111">
        <v>1000.0</v>
      </c>
      <c r="L26" s="113" t="s">
        <v>178</v>
      </c>
      <c r="M26" s="113" t="str">
        <f t="shared" si="3"/>
        <v>BIEN</v>
      </c>
    </row>
    <row r="27" ht="15.75" customHeight="1">
      <c r="B27" s="89" t="s">
        <v>172</v>
      </c>
      <c r="C27" s="129" t="s">
        <v>280</v>
      </c>
      <c r="D27" s="129" t="s">
        <v>281</v>
      </c>
      <c r="E27" s="168">
        <v>2.0</v>
      </c>
      <c r="F27" s="167">
        <v>8.0</v>
      </c>
      <c r="G27" s="113"/>
      <c r="H27" s="103"/>
      <c r="I27" s="125">
        <f t="shared" si="1"/>
        <v>8</v>
      </c>
      <c r="J27" s="109">
        <f t="shared" si="2"/>
        <v>1</v>
      </c>
      <c r="K27" s="113"/>
      <c r="L27" s="113" t="s">
        <v>178</v>
      </c>
      <c r="M27" s="113" t="str">
        <f t="shared" si="3"/>
        <v>BIEN</v>
      </c>
    </row>
    <row r="28" ht="15.75" customHeight="1">
      <c r="B28" s="89" t="s">
        <v>172</v>
      </c>
      <c r="C28" s="113" t="s">
        <v>38</v>
      </c>
      <c r="D28" s="113"/>
      <c r="E28" s="168">
        <v>2.0</v>
      </c>
      <c r="F28" s="167">
        <v>12.0</v>
      </c>
      <c r="G28" s="113"/>
      <c r="H28" s="103"/>
      <c r="I28" s="125">
        <f t="shared" si="1"/>
        <v>12</v>
      </c>
      <c r="J28" s="109">
        <f t="shared" si="2"/>
        <v>1</v>
      </c>
      <c r="K28" s="113"/>
      <c r="L28" s="113" t="s">
        <v>178</v>
      </c>
      <c r="M28" s="113" t="str">
        <f t="shared" si="3"/>
        <v>BIEN</v>
      </c>
    </row>
    <row r="29" ht="15.75" customHeight="1">
      <c r="B29" s="89" t="s">
        <v>172</v>
      </c>
      <c r="C29" s="129" t="s">
        <v>290</v>
      </c>
      <c r="D29" s="129" t="s">
        <v>291</v>
      </c>
      <c r="E29" s="168">
        <v>1.0</v>
      </c>
      <c r="F29" s="163">
        <v>0.5</v>
      </c>
      <c r="G29" s="113"/>
      <c r="H29" s="103"/>
      <c r="I29" s="125">
        <f t="shared" si="1"/>
        <v>0.5</v>
      </c>
      <c r="J29" s="109">
        <f t="shared" si="2"/>
        <v>0</v>
      </c>
      <c r="K29" s="111">
        <v>90000.0</v>
      </c>
      <c r="L29" s="113" t="s">
        <v>178</v>
      </c>
      <c r="M29" s="113" t="str">
        <f t="shared" si="3"/>
        <v>CRITICO</v>
      </c>
    </row>
    <row r="30" ht="15.75" customHeight="1">
      <c r="B30" s="89" t="s">
        <v>172</v>
      </c>
      <c r="C30" s="129" t="s">
        <v>294</v>
      </c>
      <c r="D30" s="129"/>
      <c r="E30" s="168">
        <v>2.0</v>
      </c>
      <c r="F30" s="163">
        <v>4.0</v>
      </c>
      <c r="G30" s="113"/>
      <c r="H30" s="103"/>
      <c r="I30" s="125">
        <f t="shared" si="1"/>
        <v>4</v>
      </c>
      <c r="J30" s="109">
        <f t="shared" si="2"/>
        <v>1</v>
      </c>
      <c r="K30" s="111"/>
      <c r="L30" s="113" t="s">
        <v>178</v>
      </c>
    </row>
    <row r="31" ht="15.75" customHeight="1">
      <c r="B31" s="89" t="s">
        <v>172</v>
      </c>
      <c r="C31" s="129" t="s">
        <v>297</v>
      </c>
      <c r="D31" s="129" t="s">
        <v>298</v>
      </c>
      <c r="E31" s="168">
        <v>2.0</v>
      </c>
      <c r="F31" s="163">
        <v>4.0</v>
      </c>
      <c r="G31" s="113"/>
      <c r="H31" s="103"/>
      <c r="I31" s="125">
        <f t="shared" si="1"/>
        <v>4</v>
      </c>
      <c r="J31" s="109">
        <f t="shared" si="2"/>
        <v>1</v>
      </c>
      <c r="K31" s="111"/>
      <c r="L31" s="113" t="s">
        <v>178</v>
      </c>
    </row>
    <row r="32" ht="15.75" customHeight="1">
      <c r="B32" s="89" t="s">
        <v>172</v>
      </c>
      <c r="C32" s="129" t="s">
        <v>301</v>
      </c>
      <c r="D32" s="129" t="s">
        <v>303</v>
      </c>
      <c r="E32" s="168">
        <v>0.25</v>
      </c>
      <c r="F32" s="163">
        <v>0.75</v>
      </c>
      <c r="G32" s="113"/>
      <c r="H32" s="103"/>
      <c r="I32" s="125">
        <f t="shared" si="1"/>
        <v>0.75</v>
      </c>
      <c r="J32" s="109">
        <f t="shared" si="2"/>
        <v>1</v>
      </c>
      <c r="K32" s="111"/>
      <c r="L32" s="113" t="s">
        <v>178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M2"/>
  </mergeCells>
  <conditionalFormatting sqref="M4:M29">
    <cfRule type="expression" dxfId="0" priority="1" stopIfTrue="1">
      <formula>J4=0</formula>
    </cfRule>
  </conditionalFormatting>
  <conditionalFormatting sqref="M4:M29">
    <cfRule type="expression" dxfId="1" priority="2" stopIfTrue="1">
      <formula>AND(J4&gt;0,J4&lt;0.5)</formula>
    </cfRule>
  </conditionalFormatting>
  <conditionalFormatting sqref="M4:M29">
    <cfRule type="expression" dxfId="2" priority="3" stopIfTrue="1">
      <formula>+J4&gt;=0.5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3.71"/>
    <col customWidth="1" min="3" max="3" width="53.86"/>
    <col customWidth="1" min="4" max="4" width="10.86"/>
    <col customWidth="1" min="5" max="10" width="10.71"/>
    <col customWidth="1" min="11" max="11" width="13.86"/>
    <col customWidth="1" min="12" max="26" width="10.71"/>
  </cols>
  <sheetData>
    <row r="2">
      <c r="B2" s="1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>
      <c r="B3" s="5" t="s">
        <v>4</v>
      </c>
      <c r="C3" s="5" t="s">
        <v>5</v>
      </c>
      <c r="D3" s="5" t="s">
        <v>6</v>
      </c>
      <c r="E3" s="6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7" t="s">
        <v>14</v>
      </c>
      <c r="M3" s="9" t="s">
        <v>16</v>
      </c>
    </row>
    <row r="4">
      <c r="B4" s="140" t="s">
        <v>201</v>
      </c>
      <c r="C4" s="142" t="s">
        <v>203</v>
      </c>
      <c r="D4" s="100"/>
      <c r="E4" s="52">
        <f t="shared" ref="E4:E68" si="1">+F4*60%</f>
        <v>1.2</v>
      </c>
      <c r="F4" s="138">
        <v>2.0</v>
      </c>
      <c r="G4" s="38"/>
      <c r="H4" s="38"/>
      <c r="I4" s="38">
        <f t="shared" ref="I4:I136" si="2">+F4+G4-H4</f>
        <v>2</v>
      </c>
      <c r="J4" s="25">
        <f t="shared" ref="J4:J143" si="3">+IF(E4=0,0,MIN(MAX((I4-E4)/E4,0),1))</f>
        <v>0.6666666667</v>
      </c>
      <c r="K4" s="38"/>
      <c r="L4" s="54" t="s">
        <v>211</v>
      </c>
      <c r="M4" s="29" t="str">
        <f t="shared" ref="M4:M143" si="4">+IF(J4=0,"CRITICO",IF(J4&lt;0.5,"ALERTA","BIEN"))</f>
        <v>BIEN</v>
      </c>
    </row>
    <row r="5">
      <c r="B5" s="140" t="s">
        <v>201</v>
      </c>
      <c r="C5" s="149" t="s">
        <v>215</v>
      </c>
      <c r="D5" s="100"/>
      <c r="E5" s="52">
        <f t="shared" si="1"/>
        <v>0.6</v>
      </c>
      <c r="F5" s="138">
        <v>1.0</v>
      </c>
      <c r="G5" s="38"/>
      <c r="H5" s="38"/>
      <c r="I5" s="38">
        <f t="shared" si="2"/>
        <v>1</v>
      </c>
      <c r="J5" s="25">
        <f t="shared" si="3"/>
        <v>0.6666666667</v>
      </c>
      <c r="K5" s="38"/>
      <c r="L5" s="54" t="s">
        <v>211</v>
      </c>
      <c r="M5" s="29" t="str">
        <f t="shared" si="4"/>
        <v>BIEN</v>
      </c>
    </row>
    <row r="6">
      <c r="B6" s="140" t="s">
        <v>201</v>
      </c>
      <c r="C6" s="149" t="s">
        <v>221</v>
      </c>
      <c r="D6" s="100"/>
      <c r="E6" s="52">
        <f t="shared" si="1"/>
        <v>0.6</v>
      </c>
      <c r="F6" s="138">
        <v>1.0</v>
      </c>
      <c r="G6" s="38"/>
      <c r="H6" s="38"/>
      <c r="I6" s="38">
        <f t="shared" si="2"/>
        <v>1</v>
      </c>
      <c r="J6" s="25">
        <f t="shared" si="3"/>
        <v>0.6666666667</v>
      </c>
      <c r="K6" s="38"/>
      <c r="L6" s="54" t="s">
        <v>211</v>
      </c>
      <c r="M6" s="29" t="str">
        <f t="shared" si="4"/>
        <v>BIEN</v>
      </c>
    </row>
    <row r="7">
      <c r="B7" s="140" t="s">
        <v>201</v>
      </c>
      <c r="C7" s="149" t="s">
        <v>225</v>
      </c>
      <c r="D7" s="100"/>
      <c r="E7" s="52">
        <f t="shared" si="1"/>
        <v>0.6</v>
      </c>
      <c r="F7" s="138">
        <v>1.0</v>
      </c>
      <c r="G7" s="38"/>
      <c r="H7" s="38"/>
      <c r="I7" s="38">
        <f t="shared" si="2"/>
        <v>1</v>
      </c>
      <c r="J7" s="25">
        <f t="shared" si="3"/>
        <v>0.6666666667</v>
      </c>
      <c r="K7" s="38"/>
      <c r="L7" s="54" t="s">
        <v>211</v>
      </c>
      <c r="M7" s="29" t="str">
        <f t="shared" si="4"/>
        <v>BIEN</v>
      </c>
    </row>
    <row r="8">
      <c r="B8" s="140" t="s">
        <v>201</v>
      </c>
      <c r="C8" s="149" t="s">
        <v>229</v>
      </c>
      <c r="D8" s="100"/>
      <c r="E8" s="52">
        <f t="shared" si="1"/>
        <v>0.6</v>
      </c>
      <c r="F8" s="138">
        <v>1.0</v>
      </c>
      <c r="G8" s="38"/>
      <c r="H8" s="38"/>
      <c r="I8" s="38">
        <f t="shared" si="2"/>
        <v>1</v>
      </c>
      <c r="J8" s="25">
        <f t="shared" si="3"/>
        <v>0.6666666667</v>
      </c>
      <c r="K8" s="38"/>
      <c r="L8" s="54" t="s">
        <v>211</v>
      </c>
      <c r="M8" s="29" t="str">
        <f t="shared" si="4"/>
        <v>BIEN</v>
      </c>
    </row>
    <row r="9">
      <c r="B9" s="140" t="s">
        <v>201</v>
      </c>
      <c r="C9" s="149" t="s">
        <v>233</v>
      </c>
      <c r="D9" s="100"/>
      <c r="E9" s="52">
        <f t="shared" si="1"/>
        <v>0.6</v>
      </c>
      <c r="F9" s="138">
        <v>1.0</v>
      </c>
      <c r="G9" s="38"/>
      <c r="H9" s="38"/>
      <c r="I9" s="38">
        <f t="shared" si="2"/>
        <v>1</v>
      </c>
      <c r="J9" s="25">
        <f t="shared" si="3"/>
        <v>0.6666666667</v>
      </c>
      <c r="K9" s="38"/>
      <c r="L9" s="54" t="s">
        <v>211</v>
      </c>
      <c r="M9" s="29" t="str">
        <f t="shared" si="4"/>
        <v>BIEN</v>
      </c>
    </row>
    <row r="10">
      <c r="B10" s="140" t="s">
        <v>201</v>
      </c>
      <c r="C10" s="149" t="s">
        <v>239</v>
      </c>
      <c r="D10" s="100"/>
      <c r="E10" s="52">
        <f t="shared" si="1"/>
        <v>0.6</v>
      </c>
      <c r="F10" s="138">
        <v>1.0</v>
      </c>
      <c r="G10" s="38"/>
      <c r="H10" s="38"/>
      <c r="I10" s="38">
        <f t="shared" si="2"/>
        <v>1</v>
      </c>
      <c r="J10" s="25">
        <f t="shared" si="3"/>
        <v>0.6666666667</v>
      </c>
      <c r="K10" s="38"/>
      <c r="L10" s="54" t="s">
        <v>211</v>
      </c>
      <c r="M10" s="29" t="str">
        <f t="shared" si="4"/>
        <v>BIEN</v>
      </c>
    </row>
    <row r="11">
      <c r="B11" s="140" t="s">
        <v>201</v>
      </c>
      <c r="C11" s="149" t="s">
        <v>244</v>
      </c>
      <c r="D11" s="100"/>
      <c r="E11" s="52">
        <f t="shared" si="1"/>
        <v>0.6</v>
      </c>
      <c r="F11" s="138">
        <v>1.0</v>
      </c>
      <c r="G11" s="38"/>
      <c r="H11" s="38"/>
      <c r="I11" s="38">
        <f t="shared" si="2"/>
        <v>1</v>
      </c>
      <c r="J11" s="25">
        <f t="shared" si="3"/>
        <v>0.6666666667</v>
      </c>
      <c r="K11" s="38"/>
      <c r="L11" s="54" t="s">
        <v>211</v>
      </c>
      <c r="M11" s="29" t="str">
        <f t="shared" si="4"/>
        <v>BIEN</v>
      </c>
    </row>
    <row r="12">
      <c r="B12" s="140" t="s">
        <v>201</v>
      </c>
      <c r="C12" s="149" t="s">
        <v>248</v>
      </c>
      <c r="D12" s="100"/>
      <c r="E12" s="52">
        <f t="shared" si="1"/>
        <v>0.6</v>
      </c>
      <c r="F12" s="138">
        <v>1.0</v>
      </c>
      <c r="G12" s="38"/>
      <c r="H12" s="38"/>
      <c r="I12" s="38">
        <f t="shared" si="2"/>
        <v>1</v>
      </c>
      <c r="J12" s="25">
        <f t="shared" si="3"/>
        <v>0.6666666667</v>
      </c>
      <c r="K12" s="38"/>
      <c r="L12" s="54" t="s">
        <v>211</v>
      </c>
      <c r="M12" s="29" t="str">
        <f t="shared" si="4"/>
        <v>BIEN</v>
      </c>
    </row>
    <row r="13">
      <c r="B13" s="140" t="s">
        <v>201</v>
      </c>
      <c r="C13" s="149" t="s">
        <v>251</v>
      </c>
      <c r="D13" s="100"/>
      <c r="E13" s="52">
        <f t="shared" si="1"/>
        <v>0.6</v>
      </c>
      <c r="F13" s="138">
        <v>1.0</v>
      </c>
      <c r="G13" s="38"/>
      <c r="H13" s="38"/>
      <c r="I13" s="38">
        <f t="shared" si="2"/>
        <v>1</v>
      </c>
      <c r="J13" s="25">
        <f t="shared" si="3"/>
        <v>0.6666666667</v>
      </c>
      <c r="K13" s="38"/>
      <c r="L13" s="54" t="s">
        <v>211</v>
      </c>
      <c r="M13" s="29" t="str">
        <f t="shared" si="4"/>
        <v>BIEN</v>
      </c>
    </row>
    <row r="14">
      <c r="B14" s="140" t="s">
        <v>201</v>
      </c>
      <c r="C14" s="149" t="s">
        <v>254</v>
      </c>
      <c r="D14" s="100"/>
      <c r="E14" s="52">
        <f t="shared" si="1"/>
        <v>0.6</v>
      </c>
      <c r="F14" s="138">
        <v>1.0</v>
      </c>
      <c r="G14" s="38"/>
      <c r="H14" s="38"/>
      <c r="I14" s="38">
        <f t="shared" si="2"/>
        <v>1</v>
      </c>
      <c r="J14" s="25">
        <f t="shared" si="3"/>
        <v>0.6666666667</v>
      </c>
      <c r="K14" s="38"/>
      <c r="L14" s="54" t="s">
        <v>211</v>
      </c>
      <c r="M14" s="29" t="str">
        <f t="shared" si="4"/>
        <v>BIEN</v>
      </c>
    </row>
    <row r="15">
      <c r="B15" s="140" t="s">
        <v>201</v>
      </c>
      <c r="C15" s="149" t="s">
        <v>259</v>
      </c>
      <c r="D15" s="100"/>
      <c r="E15" s="52">
        <f t="shared" si="1"/>
        <v>0.6</v>
      </c>
      <c r="F15" s="138">
        <v>1.0</v>
      </c>
      <c r="G15" s="38"/>
      <c r="H15" s="38"/>
      <c r="I15" s="38">
        <f t="shared" si="2"/>
        <v>1</v>
      </c>
      <c r="J15" s="25">
        <f t="shared" si="3"/>
        <v>0.6666666667</v>
      </c>
      <c r="K15" s="38"/>
      <c r="L15" s="54" t="s">
        <v>211</v>
      </c>
      <c r="M15" s="29" t="str">
        <f t="shared" si="4"/>
        <v>BIEN</v>
      </c>
    </row>
    <row r="16">
      <c r="B16" s="140" t="s">
        <v>201</v>
      </c>
      <c r="C16" s="149" t="s">
        <v>263</v>
      </c>
      <c r="D16" s="100"/>
      <c r="E16" s="52">
        <f t="shared" si="1"/>
        <v>1.2</v>
      </c>
      <c r="F16" s="138">
        <v>2.0</v>
      </c>
      <c r="G16" s="38"/>
      <c r="H16" s="38"/>
      <c r="I16" s="38">
        <f t="shared" si="2"/>
        <v>2</v>
      </c>
      <c r="J16" s="25">
        <f t="shared" si="3"/>
        <v>0.6666666667</v>
      </c>
      <c r="K16" s="38"/>
      <c r="L16" s="54" t="s">
        <v>211</v>
      </c>
      <c r="M16" s="29" t="str">
        <f t="shared" si="4"/>
        <v>BIEN</v>
      </c>
    </row>
    <row r="17">
      <c r="B17" s="140" t="s">
        <v>201</v>
      </c>
      <c r="C17" s="149" t="s">
        <v>268</v>
      </c>
      <c r="D17" s="100"/>
      <c r="E17" s="52">
        <f t="shared" si="1"/>
        <v>1.2</v>
      </c>
      <c r="F17" s="138">
        <v>2.0</v>
      </c>
      <c r="G17" s="38"/>
      <c r="H17" s="38"/>
      <c r="I17" s="38">
        <f t="shared" si="2"/>
        <v>2</v>
      </c>
      <c r="J17" s="25">
        <f t="shared" si="3"/>
        <v>0.6666666667</v>
      </c>
      <c r="K17" s="38"/>
      <c r="L17" s="54" t="s">
        <v>211</v>
      </c>
      <c r="M17" s="29" t="str">
        <f t="shared" si="4"/>
        <v>BIEN</v>
      </c>
    </row>
    <row r="18">
      <c r="B18" s="140" t="s">
        <v>201</v>
      </c>
      <c r="C18" s="149" t="s">
        <v>273</v>
      </c>
      <c r="D18" s="100"/>
      <c r="E18" s="52">
        <f t="shared" si="1"/>
        <v>0.6</v>
      </c>
      <c r="F18" s="138">
        <v>1.0</v>
      </c>
      <c r="G18" s="38"/>
      <c r="H18" s="38"/>
      <c r="I18" s="38">
        <f t="shared" si="2"/>
        <v>1</v>
      </c>
      <c r="J18" s="25">
        <f t="shared" si="3"/>
        <v>0.6666666667</v>
      </c>
      <c r="K18" s="38"/>
      <c r="L18" s="54" t="s">
        <v>211</v>
      </c>
      <c r="M18" s="29" t="str">
        <f t="shared" si="4"/>
        <v>BIEN</v>
      </c>
    </row>
    <row r="19">
      <c r="B19" s="140" t="s">
        <v>201</v>
      </c>
      <c r="C19" s="149" t="s">
        <v>279</v>
      </c>
      <c r="D19" s="100"/>
      <c r="E19" s="52">
        <f t="shared" si="1"/>
        <v>0.6</v>
      </c>
      <c r="F19" s="138">
        <v>1.0</v>
      </c>
      <c r="G19" s="38"/>
      <c r="H19" s="38"/>
      <c r="I19" s="38">
        <f t="shared" si="2"/>
        <v>1</v>
      </c>
      <c r="J19" s="25">
        <f t="shared" si="3"/>
        <v>0.6666666667</v>
      </c>
      <c r="K19" s="38"/>
      <c r="L19" s="54" t="s">
        <v>211</v>
      </c>
      <c r="M19" s="29" t="str">
        <f t="shared" si="4"/>
        <v>BIEN</v>
      </c>
    </row>
    <row r="20">
      <c r="B20" s="140" t="s">
        <v>201</v>
      </c>
      <c r="C20" s="149" t="s">
        <v>284</v>
      </c>
      <c r="D20" s="100"/>
      <c r="E20" s="52">
        <f t="shared" si="1"/>
        <v>0.6</v>
      </c>
      <c r="F20" s="138">
        <v>1.0</v>
      </c>
      <c r="G20" s="38"/>
      <c r="H20" s="38"/>
      <c r="I20" s="38">
        <f t="shared" si="2"/>
        <v>1</v>
      </c>
      <c r="J20" s="25">
        <f t="shared" si="3"/>
        <v>0.6666666667</v>
      </c>
      <c r="K20" s="38"/>
      <c r="L20" s="54" t="s">
        <v>211</v>
      </c>
      <c r="M20" s="29" t="str">
        <f t="shared" si="4"/>
        <v>BIEN</v>
      </c>
    </row>
    <row r="21" ht="15.75" customHeight="1">
      <c r="B21" s="140" t="s">
        <v>201</v>
      </c>
      <c r="C21" s="149" t="s">
        <v>287</v>
      </c>
      <c r="D21" s="100"/>
      <c r="E21" s="52">
        <f t="shared" si="1"/>
        <v>0.6</v>
      </c>
      <c r="F21" s="138">
        <v>1.0</v>
      </c>
      <c r="G21" s="38"/>
      <c r="H21" s="38"/>
      <c r="I21" s="38">
        <f t="shared" si="2"/>
        <v>1</v>
      </c>
      <c r="J21" s="25">
        <f t="shared" si="3"/>
        <v>0.6666666667</v>
      </c>
      <c r="K21" s="38"/>
      <c r="L21" s="54" t="s">
        <v>211</v>
      </c>
      <c r="M21" s="29" t="str">
        <f t="shared" si="4"/>
        <v>BIEN</v>
      </c>
    </row>
    <row r="22" ht="15.75" customHeight="1">
      <c r="B22" s="140" t="s">
        <v>201</v>
      </c>
      <c r="C22" s="149" t="s">
        <v>292</v>
      </c>
      <c r="D22" s="100"/>
      <c r="E22" s="52">
        <f t="shared" si="1"/>
        <v>0.6</v>
      </c>
      <c r="F22" s="138">
        <v>1.0</v>
      </c>
      <c r="G22" s="38"/>
      <c r="H22" s="38"/>
      <c r="I22" s="38">
        <f t="shared" si="2"/>
        <v>1</v>
      </c>
      <c r="J22" s="25">
        <f t="shared" si="3"/>
        <v>0.6666666667</v>
      </c>
      <c r="K22" s="38"/>
      <c r="L22" s="54" t="s">
        <v>211</v>
      </c>
      <c r="M22" s="29" t="str">
        <f t="shared" si="4"/>
        <v>BIEN</v>
      </c>
    </row>
    <row r="23" ht="15.75" customHeight="1">
      <c r="B23" s="140" t="s">
        <v>201</v>
      </c>
      <c r="C23" s="149" t="s">
        <v>296</v>
      </c>
      <c r="D23" s="100"/>
      <c r="E23" s="52">
        <f t="shared" si="1"/>
        <v>0.6</v>
      </c>
      <c r="F23" s="138">
        <v>1.0</v>
      </c>
      <c r="G23" s="38"/>
      <c r="H23" s="38"/>
      <c r="I23" s="38">
        <f t="shared" si="2"/>
        <v>1</v>
      </c>
      <c r="J23" s="25">
        <f t="shared" si="3"/>
        <v>0.6666666667</v>
      </c>
      <c r="K23" s="38"/>
      <c r="L23" s="54" t="s">
        <v>211</v>
      </c>
      <c r="M23" s="29" t="str">
        <f t="shared" si="4"/>
        <v>BIEN</v>
      </c>
    </row>
    <row r="24" ht="15.75" customHeight="1">
      <c r="B24" s="140" t="s">
        <v>201</v>
      </c>
      <c r="C24" s="149" t="s">
        <v>302</v>
      </c>
      <c r="D24" s="100"/>
      <c r="E24" s="52">
        <f t="shared" si="1"/>
        <v>0.6</v>
      </c>
      <c r="F24" s="138">
        <v>1.0</v>
      </c>
      <c r="G24" s="38"/>
      <c r="H24" s="38"/>
      <c r="I24" s="38">
        <f t="shared" si="2"/>
        <v>1</v>
      </c>
      <c r="J24" s="25">
        <f t="shared" si="3"/>
        <v>0.6666666667</v>
      </c>
      <c r="K24" s="38"/>
      <c r="L24" s="54" t="s">
        <v>211</v>
      </c>
      <c r="M24" s="29" t="str">
        <f t="shared" si="4"/>
        <v>BIEN</v>
      </c>
    </row>
    <row r="25" ht="15.75" customHeight="1">
      <c r="B25" s="140" t="s">
        <v>201</v>
      </c>
      <c r="C25" s="149" t="s">
        <v>304</v>
      </c>
      <c r="D25" s="100"/>
      <c r="E25" s="52">
        <f t="shared" si="1"/>
        <v>0.6</v>
      </c>
      <c r="F25" s="138">
        <v>1.0</v>
      </c>
      <c r="G25" s="38"/>
      <c r="H25" s="38"/>
      <c r="I25" s="38">
        <f t="shared" si="2"/>
        <v>1</v>
      </c>
      <c r="J25" s="25">
        <f t="shared" si="3"/>
        <v>0.6666666667</v>
      </c>
      <c r="K25" s="38"/>
      <c r="L25" s="54" t="s">
        <v>211</v>
      </c>
      <c r="M25" s="29" t="str">
        <f t="shared" si="4"/>
        <v>BIEN</v>
      </c>
    </row>
    <row r="26" ht="15.75" customHeight="1">
      <c r="B26" s="140" t="s">
        <v>201</v>
      </c>
      <c r="C26" s="149" t="s">
        <v>307</v>
      </c>
      <c r="D26" s="100"/>
      <c r="E26" s="52">
        <f t="shared" si="1"/>
        <v>0.6</v>
      </c>
      <c r="F26" s="138">
        <v>1.0</v>
      </c>
      <c r="G26" s="38"/>
      <c r="H26" s="38"/>
      <c r="I26" s="38">
        <f t="shared" si="2"/>
        <v>1</v>
      </c>
      <c r="J26" s="25">
        <f t="shared" si="3"/>
        <v>0.6666666667</v>
      </c>
      <c r="K26" s="38"/>
      <c r="L26" s="54" t="s">
        <v>211</v>
      </c>
      <c r="M26" s="29" t="str">
        <f t="shared" si="4"/>
        <v>BIEN</v>
      </c>
    </row>
    <row r="27" ht="15.75" customHeight="1">
      <c r="B27" s="140" t="s">
        <v>201</v>
      </c>
      <c r="C27" s="149" t="s">
        <v>308</v>
      </c>
      <c r="D27" s="100"/>
      <c r="E27" s="52">
        <f t="shared" si="1"/>
        <v>1.2</v>
      </c>
      <c r="F27" s="138">
        <v>2.0</v>
      </c>
      <c r="G27" s="38"/>
      <c r="H27" s="38"/>
      <c r="I27" s="38">
        <f t="shared" si="2"/>
        <v>2</v>
      </c>
      <c r="J27" s="25">
        <f t="shared" si="3"/>
        <v>0.6666666667</v>
      </c>
      <c r="K27" s="38"/>
      <c r="L27" s="54" t="s">
        <v>211</v>
      </c>
      <c r="M27" s="29" t="str">
        <f t="shared" si="4"/>
        <v>BIEN</v>
      </c>
    </row>
    <row r="28" ht="15.75" customHeight="1">
      <c r="B28" s="140" t="s">
        <v>201</v>
      </c>
      <c r="C28" s="149" t="s">
        <v>310</v>
      </c>
      <c r="D28" s="100"/>
      <c r="E28" s="52">
        <f t="shared" si="1"/>
        <v>1.2</v>
      </c>
      <c r="F28" s="138">
        <v>2.0</v>
      </c>
      <c r="G28" s="38"/>
      <c r="H28" s="38"/>
      <c r="I28" s="38">
        <f t="shared" si="2"/>
        <v>2</v>
      </c>
      <c r="J28" s="25">
        <f t="shared" si="3"/>
        <v>0.6666666667</v>
      </c>
      <c r="K28" s="38"/>
      <c r="L28" s="54" t="s">
        <v>211</v>
      </c>
      <c r="M28" s="29" t="str">
        <f t="shared" si="4"/>
        <v>BIEN</v>
      </c>
    </row>
    <row r="29" ht="15.75" customHeight="1">
      <c r="B29" s="140" t="s">
        <v>201</v>
      </c>
      <c r="C29" s="149" t="s">
        <v>311</v>
      </c>
      <c r="D29" s="100" t="s">
        <v>312</v>
      </c>
      <c r="E29" s="52">
        <f t="shared" si="1"/>
        <v>0.6</v>
      </c>
      <c r="F29" s="138">
        <v>1.0</v>
      </c>
      <c r="G29" s="38"/>
      <c r="H29" s="38"/>
      <c r="I29" s="38">
        <f t="shared" si="2"/>
        <v>1</v>
      </c>
      <c r="J29" s="25">
        <f t="shared" si="3"/>
        <v>0.6666666667</v>
      </c>
      <c r="K29" s="38"/>
      <c r="L29" s="54" t="s">
        <v>211</v>
      </c>
      <c r="M29" s="29" t="str">
        <f t="shared" si="4"/>
        <v>BIEN</v>
      </c>
    </row>
    <row r="30" ht="15.75" customHeight="1">
      <c r="B30" s="140" t="s">
        <v>201</v>
      </c>
      <c r="C30" s="149" t="s">
        <v>313</v>
      </c>
      <c r="D30" s="100"/>
      <c r="E30" s="52">
        <f t="shared" si="1"/>
        <v>0.6</v>
      </c>
      <c r="F30" s="138">
        <v>1.0</v>
      </c>
      <c r="G30" s="38"/>
      <c r="H30" s="38"/>
      <c r="I30" s="38">
        <f t="shared" si="2"/>
        <v>1</v>
      </c>
      <c r="J30" s="25">
        <f t="shared" si="3"/>
        <v>0.6666666667</v>
      </c>
      <c r="K30" s="38"/>
      <c r="L30" s="54" t="s">
        <v>211</v>
      </c>
      <c r="M30" s="29" t="str">
        <f t="shared" si="4"/>
        <v>BIEN</v>
      </c>
    </row>
    <row r="31" ht="15.75" customHeight="1">
      <c r="B31" s="140" t="s">
        <v>201</v>
      </c>
      <c r="C31" s="149" t="s">
        <v>314</v>
      </c>
      <c r="D31" s="100" t="s">
        <v>315</v>
      </c>
      <c r="E31" s="52">
        <f t="shared" si="1"/>
        <v>0.6</v>
      </c>
      <c r="F31" s="138">
        <v>1.0</v>
      </c>
      <c r="G31" s="38"/>
      <c r="H31" s="38"/>
      <c r="I31" s="38">
        <f t="shared" si="2"/>
        <v>1</v>
      </c>
      <c r="J31" s="25">
        <f t="shared" si="3"/>
        <v>0.6666666667</v>
      </c>
      <c r="K31" s="38"/>
      <c r="L31" s="54" t="s">
        <v>211</v>
      </c>
      <c r="M31" s="29" t="str">
        <f t="shared" si="4"/>
        <v>BIEN</v>
      </c>
    </row>
    <row r="32" ht="15.75" customHeight="1">
      <c r="B32" s="140" t="s">
        <v>201</v>
      </c>
      <c r="C32" s="149" t="s">
        <v>316</v>
      </c>
      <c r="D32" s="100"/>
      <c r="E32" s="52">
        <f t="shared" si="1"/>
        <v>0.6</v>
      </c>
      <c r="F32" s="138">
        <v>1.0</v>
      </c>
      <c r="G32" s="38"/>
      <c r="H32" s="38"/>
      <c r="I32" s="38">
        <f t="shared" si="2"/>
        <v>1</v>
      </c>
      <c r="J32" s="25">
        <f t="shared" si="3"/>
        <v>0.6666666667</v>
      </c>
      <c r="K32" s="38"/>
      <c r="L32" s="54" t="s">
        <v>211</v>
      </c>
      <c r="M32" s="29" t="str">
        <f t="shared" si="4"/>
        <v>BIEN</v>
      </c>
    </row>
    <row r="33" ht="15.75" customHeight="1">
      <c r="B33" s="140" t="s">
        <v>201</v>
      </c>
      <c r="C33" s="149" t="s">
        <v>317</v>
      </c>
      <c r="D33" s="100"/>
      <c r="E33" s="52">
        <f t="shared" si="1"/>
        <v>0.6</v>
      </c>
      <c r="F33" s="138">
        <v>1.0</v>
      </c>
      <c r="G33" s="38"/>
      <c r="H33" s="38"/>
      <c r="I33" s="38">
        <f t="shared" si="2"/>
        <v>1</v>
      </c>
      <c r="J33" s="25">
        <f t="shared" si="3"/>
        <v>0.6666666667</v>
      </c>
      <c r="K33" s="38"/>
      <c r="L33" s="54" t="s">
        <v>211</v>
      </c>
      <c r="M33" s="29" t="str">
        <f t="shared" si="4"/>
        <v>BIEN</v>
      </c>
    </row>
    <row r="34" ht="15.75" customHeight="1">
      <c r="B34" s="140" t="s">
        <v>201</v>
      </c>
      <c r="C34" s="149" t="s">
        <v>319</v>
      </c>
      <c r="D34" s="43"/>
      <c r="E34" s="52">
        <f t="shared" si="1"/>
        <v>1.2</v>
      </c>
      <c r="F34" s="138">
        <v>2.0</v>
      </c>
      <c r="G34" s="38"/>
      <c r="H34" s="38"/>
      <c r="I34" s="38">
        <f t="shared" si="2"/>
        <v>2</v>
      </c>
      <c r="J34" s="25">
        <f t="shared" si="3"/>
        <v>0.6666666667</v>
      </c>
      <c r="K34" s="38"/>
      <c r="L34" s="54" t="s">
        <v>211</v>
      </c>
      <c r="M34" s="29" t="str">
        <f t="shared" si="4"/>
        <v>BIEN</v>
      </c>
    </row>
    <row r="35" ht="15.75" customHeight="1">
      <c r="B35" s="140" t="s">
        <v>201</v>
      </c>
      <c r="C35" s="149" t="s">
        <v>321</v>
      </c>
      <c r="D35" s="43"/>
      <c r="E35" s="52">
        <f t="shared" si="1"/>
        <v>1.2</v>
      </c>
      <c r="F35" s="138">
        <v>2.0</v>
      </c>
      <c r="G35" s="38"/>
      <c r="H35" s="38"/>
      <c r="I35" s="38">
        <f t="shared" si="2"/>
        <v>2</v>
      </c>
      <c r="J35" s="25">
        <f t="shared" si="3"/>
        <v>0.6666666667</v>
      </c>
      <c r="K35" s="38"/>
      <c r="L35" s="54" t="s">
        <v>211</v>
      </c>
      <c r="M35" s="29" t="str">
        <f t="shared" si="4"/>
        <v>BIEN</v>
      </c>
    </row>
    <row r="36" ht="15.75" customHeight="1">
      <c r="B36" s="140" t="s">
        <v>201</v>
      </c>
      <c r="C36" s="149" t="s">
        <v>322</v>
      </c>
      <c r="D36" s="43"/>
      <c r="E36" s="52">
        <f t="shared" si="1"/>
        <v>0.6</v>
      </c>
      <c r="F36" s="138">
        <v>1.0</v>
      </c>
      <c r="G36" s="38"/>
      <c r="H36" s="38"/>
      <c r="I36" s="38">
        <f t="shared" si="2"/>
        <v>1</v>
      </c>
      <c r="J36" s="25">
        <f t="shared" si="3"/>
        <v>0.6666666667</v>
      </c>
      <c r="K36" s="38"/>
      <c r="L36" s="54" t="s">
        <v>211</v>
      </c>
      <c r="M36" s="29" t="str">
        <f t="shared" si="4"/>
        <v>BIEN</v>
      </c>
    </row>
    <row r="37" ht="15.75" customHeight="1">
      <c r="B37" s="140" t="s">
        <v>201</v>
      </c>
      <c r="C37" s="149" t="s">
        <v>326</v>
      </c>
      <c r="D37" s="43"/>
      <c r="E37" s="52">
        <f t="shared" si="1"/>
        <v>0.6</v>
      </c>
      <c r="F37" s="138">
        <v>1.0</v>
      </c>
      <c r="G37" s="38"/>
      <c r="H37" s="38"/>
      <c r="I37" s="38">
        <f t="shared" si="2"/>
        <v>1</v>
      </c>
      <c r="J37" s="25">
        <f t="shared" si="3"/>
        <v>0.6666666667</v>
      </c>
      <c r="K37" s="38"/>
      <c r="L37" s="54" t="s">
        <v>211</v>
      </c>
      <c r="M37" s="29" t="str">
        <f t="shared" si="4"/>
        <v>BIEN</v>
      </c>
    </row>
    <row r="38" ht="15.75" customHeight="1">
      <c r="B38" s="140" t="s">
        <v>201</v>
      </c>
      <c r="C38" s="149" t="s">
        <v>329</v>
      </c>
      <c r="D38" s="43"/>
      <c r="E38" s="52">
        <f t="shared" si="1"/>
        <v>0.6</v>
      </c>
      <c r="F38" s="138">
        <v>1.0</v>
      </c>
      <c r="G38" s="38"/>
      <c r="H38" s="38"/>
      <c r="I38" s="38">
        <f t="shared" si="2"/>
        <v>1</v>
      </c>
      <c r="J38" s="25">
        <f t="shared" si="3"/>
        <v>0.6666666667</v>
      </c>
      <c r="K38" s="38"/>
      <c r="L38" s="54" t="s">
        <v>211</v>
      </c>
      <c r="M38" s="29" t="str">
        <f t="shared" si="4"/>
        <v>BIEN</v>
      </c>
    </row>
    <row r="39" ht="15.75" customHeight="1">
      <c r="B39" s="140" t="s">
        <v>201</v>
      </c>
      <c r="C39" s="149" t="s">
        <v>332</v>
      </c>
      <c r="D39" s="43"/>
      <c r="E39" s="52">
        <f t="shared" si="1"/>
        <v>0.6</v>
      </c>
      <c r="F39" s="138">
        <v>1.0</v>
      </c>
      <c r="G39" s="38"/>
      <c r="H39" s="38"/>
      <c r="I39" s="38">
        <f t="shared" si="2"/>
        <v>1</v>
      </c>
      <c r="J39" s="25">
        <f t="shared" si="3"/>
        <v>0.6666666667</v>
      </c>
      <c r="K39" s="38"/>
      <c r="L39" s="54" t="s">
        <v>211</v>
      </c>
      <c r="M39" s="29" t="str">
        <f t="shared" si="4"/>
        <v>BIEN</v>
      </c>
    </row>
    <row r="40" ht="15.75" customHeight="1">
      <c r="B40" s="140" t="s">
        <v>201</v>
      </c>
      <c r="C40" s="149" t="s">
        <v>336</v>
      </c>
      <c r="D40" s="43"/>
      <c r="E40" s="52">
        <f t="shared" si="1"/>
        <v>1.2</v>
      </c>
      <c r="F40" s="138">
        <v>2.0</v>
      </c>
      <c r="G40" s="38"/>
      <c r="H40" s="38"/>
      <c r="I40" s="38">
        <f t="shared" si="2"/>
        <v>2</v>
      </c>
      <c r="J40" s="25">
        <f t="shared" si="3"/>
        <v>0.6666666667</v>
      </c>
      <c r="K40" s="38"/>
      <c r="L40" s="54" t="s">
        <v>211</v>
      </c>
      <c r="M40" s="29" t="str">
        <f t="shared" si="4"/>
        <v>BIEN</v>
      </c>
    </row>
    <row r="41" ht="15.75" customHeight="1">
      <c r="B41" s="140" t="s">
        <v>201</v>
      </c>
      <c r="C41" s="149" t="s">
        <v>338</v>
      </c>
      <c r="D41" s="43"/>
      <c r="E41" s="52">
        <f t="shared" si="1"/>
        <v>0.6</v>
      </c>
      <c r="F41" s="138">
        <v>1.0</v>
      </c>
      <c r="G41" s="38"/>
      <c r="H41" s="38"/>
      <c r="I41" s="38">
        <f t="shared" si="2"/>
        <v>1</v>
      </c>
      <c r="J41" s="25">
        <f t="shared" si="3"/>
        <v>0.6666666667</v>
      </c>
      <c r="K41" s="38"/>
      <c r="L41" s="54" t="s">
        <v>211</v>
      </c>
      <c r="M41" s="29" t="str">
        <f t="shared" si="4"/>
        <v>BIEN</v>
      </c>
    </row>
    <row r="42" ht="15.75" customHeight="1">
      <c r="B42" s="140" t="s">
        <v>201</v>
      </c>
      <c r="C42" s="149" t="s">
        <v>344</v>
      </c>
      <c r="D42" s="43"/>
      <c r="E42" s="52">
        <f t="shared" si="1"/>
        <v>0.6</v>
      </c>
      <c r="F42" s="138">
        <v>1.0</v>
      </c>
      <c r="G42" s="38"/>
      <c r="H42" s="38"/>
      <c r="I42" s="38">
        <f t="shared" si="2"/>
        <v>1</v>
      </c>
      <c r="J42" s="25">
        <f t="shared" si="3"/>
        <v>0.6666666667</v>
      </c>
      <c r="K42" s="38"/>
      <c r="L42" s="54" t="s">
        <v>211</v>
      </c>
      <c r="M42" s="29" t="str">
        <f t="shared" si="4"/>
        <v>BIEN</v>
      </c>
    </row>
    <row r="43" ht="15.75" customHeight="1">
      <c r="B43" s="140" t="s">
        <v>201</v>
      </c>
      <c r="C43" s="149" t="s">
        <v>351</v>
      </c>
      <c r="D43" s="43"/>
      <c r="E43" s="52">
        <f t="shared" si="1"/>
        <v>0.6</v>
      </c>
      <c r="F43" s="138">
        <v>1.0</v>
      </c>
      <c r="G43" s="38"/>
      <c r="H43" s="38"/>
      <c r="I43" s="38">
        <f t="shared" si="2"/>
        <v>1</v>
      </c>
      <c r="J43" s="25">
        <f t="shared" si="3"/>
        <v>0.6666666667</v>
      </c>
      <c r="K43" s="38"/>
      <c r="L43" s="54" t="s">
        <v>211</v>
      </c>
      <c r="M43" s="29" t="str">
        <f t="shared" si="4"/>
        <v>BIEN</v>
      </c>
    </row>
    <row r="44" ht="15.75" customHeight="1">
      <c r="B44" s="140" t="s">
        <v>201</v>
      </c>
      <c r="C44" s="149" t="s">
        <v>354</v>
      </c>
      <c r="D44" s="43"/>
      <c r="E44" s="52">
        <f t="shared" si="1"/>
        <v>0.6</v>
      </c>
      <c r="F44" s="138">
        <v>1.0</v>
      </c>
      <c r="G44" s="38"/>
      <c r="H44" s="38"/>
      <c r="I44" s="38">
        <f t="shared" si="2"/>
        <v>1</v>
      </c>
      <c r="J44" s="25">
        <f t="shared" si="3"/>
        <v>0.6666666667</v>
      </c>
      <c r="K44" s="38"/>
      <c r="L44" s="54" t="s">
        <v>211</v>
      </c>
      <c r="M44" s="29" t="str">
        <f t="shared" si="4"/>
        <v>BIEN</v>
      </c>
    </row>
    <row r="45" ht="15.75" customHeight="1">
      <c r="B45" s="140" t="s">
        <v>201</v>
      </c>
      <c r="C45" s="149" t="s">
        <v>358</v>
      </c>
      <c r="D45" s="43"/>
      <c r="E45" s="52">
        <f t="shared" si="1"/>
        <v>0.6</v>
      </c>
      <c r="F45" s="138">
        <v>1.0</v>
      </c>
      <c r="G45" s="38"/>
      <c r="H45" s="38"/>
      <c r="I45" s="38">
        <f t="shared" si="2"/>
        <v>1</v>
      </c>
      <c r="J45" s="25">
        <f t="shared" si="3"/>
        <v>0.6666666667</v>
      </c>
      <c r="K45" s="38"/>
      <c r="L45" s="54" t="s">
        <v>211</v>
      </c>
      <c r="M45" s="29" t="str">
        <f t="shared" si="4"/>
        <v>BIEN</v>
      </c>
    </row>
    <row r="46" ht="15.75" customHeight="1">
      <c r="B46" s="140" t="s">
        <v>201</v>
      </c>
      <c r="C46" s="149" t="s">
        <v>361</v>
      </c>
      <c r="D46" s="43"/>
      <c r="E46" s="52">
        <f t="shared" si="1"/>
        <v>0.6</v>
      </c>
      <c r="F46" s="138">
        <v>1.0</v>
      </c>
      <c r="G46" s="38"/>
      <c r="H46" s="38"/>
      <c r="I46" s="38">
        <f t="shared" si="2"/>
        <v>1</v>
      </c>
      <c r="J46" s="25">
        <f t="shared" si="3"/>
        <v>0.6666666667</v>
      </c>
      <c r="K46" s="38"/>
      <c r="L46" s="54" t="s">
        <v>211</v>
      </c>
      <c r="M46" s="29" t="str">
        <f t="shared" si="4"/>
        <v>BIEN</v>
      </c>
    </row>
    <row r="47" ht="15.75" customHeight="1">
      <c r="B47" s="140" t="s">
        <v>201</v>
      </c>
      <c r="C47" s="149" t="s">
        <v>366</v>
      </c>
      <c r="D47" s="43" t="s">
        <v>24</v>
      </c>
      <c r="E47" s="52">
        <f t="shared" si="1"/>
        <v>0.6</v>
      </c>
      <c r="F47" s="138">
        <v>1.0</v>
      </c>
      <c r="G47" s="38"/>
      <c r="H47" s="38"/>
      <c r="I47" s="38">
        <f t="shared" si="2"/>
        <v>1</v>
      </c>
      <c r="J47" s="25">
        <f t="shared" si="3"/>
        <v>0.6666666667</v>
      </c>
      <c r="K47" s="38"/>
      <c r="L47" s="54" t="s">
        <v>211</v>
      </c>
      <c r="M47" s="29" t="str">
        <f t="shared" si="4"/>
        <v>BIEN</v>
      </c>
    </row>
    <row r="48" ht="15.75" customHeight="1">
      <c r="B48" s="140" t="s">
        <v>201</v>
      </c>
      <c r="C48" s="149" t="s">
        <v>371</v>
      </c>
      <c r="D48" s="43"/>
      <c r="E48" s="52">
        <f t="shared" si="1"/>
        <v>0.6</v>
      </c>
      <c r="F48" s="138">
        <v>1.0</v>
      </c>
      <c r="G48" s="38"/>
      <c r="H48" s="38"/>
      <c r="I48" s="38">
        <f t="shared" si="2"/>
        <v>1</v>
      </c>
      <c r="J48" s="25">
        <f t="shared" si="3"/>
        <v>0.6666666667</v>
      </c>
      <c r="K48" s="38"/>
      <c r="L48" s="54" t="s">
        <v>211</v>
      </c>
      <c r="M48" s="29" t="str">
        <f t="shared" si="4"/>
        <v>BIEN</v>
      </c>
    </row>
    <row r="49" ht="15.75" customHeight="1">
      <c r="B49" s="140" t="s">
        <v>374</v>
      </c>
      <c r="C49" s="149" t="s">
        <v>375</v>
      </c>
      <c r="D49" s="43"/>
      <c r="E49" s="52">
        <f t="shared" si="1"/>
        <v>0.6</v>
      </c>
      <c r="F49" s="235">
        <v>1.0</v>
      </c>
      <c r="G49" s="38"/>
      <c r="H49" s="38"/>
      <c r="I49" s="38">
        <f t="shared" si="2"/>
        <v>1</v>
      </c>
      <c r="J49" s="25">
        <f t="shared" si="3"/>
        <v>0.6666666667</v>
      </c>
      <c r="K49" s="38"/>
      <c r="L49" s="54" t="s">
        <v>211</v>
      </c>
      <c r="M49" s="29" t="str">
        <f t="shared" si="4"/>
        <v>BIEN</v>
      </c>
    </row>
    <row r="50" ht="15.75" customHeight="1">
      <c r="B50" s="140" t="s">
        <v>374</v>
      </c>
      <c r="C50" s="149" t="s">
        <v>381</v>
      </c>
      <c r="D50" s="43"/>
      <c r="E50" s="52">
        <f t="shared" si="1"/>
        <v>0.6</v>
      </c>
      <c r="F50" s="235">
        <v>1.0</v>
      </c>
      <c r="G50" s="38"/>
      <c r="H50" s="38"/>
      <c r="I50" s="38">
        <f t="shared" si="2"/>
        <v>1</v>
      </c>
      <c r="J50" s="25">
        <f t="shared" si="3"/>
        <v>0.6666666667</v>
      </c>
      <c r="K50" s="38"/>
      <c r="L50" s="54" t="s">
        <v>211</v>
      </c>
      <c r="M50" s="29" t="str">
        <f t="shared" si="4"/>
        <v>BIEN</v>
      </c>
    </row>
    <row r="51" ht="15.75" customHeight="1">
      <c r="B51" s="140" t="s">
        <v>374</v>
      </c>
      <c r="C51" s="149" t="s">
        <v>296</v>
      </c>
      <c r="D51" s="43"/>
      <c r="E51" s="52">
        <f t="shared" si="1"/>
        <v>0.6</v>
      </c>
      <c r="F51" s="235">
        <v>1.0</v>
      </c>
      <c r="G51" s="38"/>
      <c r="H51" s="38"/>
      <c r="I51" s="38">
        <f t="shared" si="2"/>
        <v>1</v>
      </c>
      <c r="J51" s="25">
        <f t="shared" si="3"/>
        <v>0.6666666667</v>
      </c>
      <c r="K51" s="38"/>
      <c r="L51" s="54" t="s">
        <v>211</v>
      </c>
      <c r="M51" s="29" t="str">
        <f t="shared" si="4"/>
        <v>BIEN</v>
      </c>
    </row>
    <row r="52" ht="15.75" customHeight="1">
      <c r="B52" s="140" t="s">
        <v>374</v>
      </c>
      <c r="C52" s="149" t="s">
        <v>387</v>
      </c>
      <c r="D52" s="43"/>
      <c r="E52" s="52">
        <f t="shared" si="1"/>
        <v>0.6</v>
      </c>
      <c r="F52" s="235">
        <v>1.0</v>
      </c>
      <c r="G52" s="38"/>
      <c r="H52" s="38"/>
      <c r="I52" s="38">
        <f t="shared" si="2"/>
        <v>1</v>
      </c>
      <c r="J52" s="25">
        <f t="shared" si="3"/>
        <v>0.6666666667</v>
      </c>
      <c r="K52" s="38"/>
      <c r="L52" s="54" t="s">
        <v>211</v>
      </c>
      <c r="M52" s="29" t="str">
        <f t="shared" si="4"/>
        <v>BIEN</v>
      </c>
    </row>
    <row r="53" ht="15.75" customHeight="1">
      <c r="B53" s="140" t="s">
        <v>374</v>
      </c>
      <c r="C53" s="149" t="s">
        <v>392</v>
      </c>
      <c r="D53" s="43"/>
      <c r="E53" s="52">
        <f t="shared" si="1"/>
        <v>0.6</v>
      </c>
      <c r="F53" s="138">
        <v>1.0</v>
      </c>
      <c r="G53" s="38"/>
      <c r="H53" s="38"/>
      <c r="I53" s="38">
        <f t="shared" si="2"/>
        <v>1</v>
      </c>
      <c r="J53" s="25">
        <f t="shared" si="3"/>
        <v>0.6666666667</v>
      </c>
      <c r="K53" s="38"/>
      <c r="L53" s="54" t="s">
        <v>211</v>
      </c>
      <c r="M53" s="29" t="str">
        <f t="shared" si="4"/>
        <v>BIEN</v>
      </c>
    </row>
    <row r="54" ht="15.75" customHeight="1">
      <c r="B54" s="140" t="s">
        <v>374</v>
      </c>
      <c r="C54" s="149" t="s">
        <v>399</v>
      </c>
      <c r="D54" s="43"/>
      <c r="E54" s="52">
        <f t="shared" si="1"/>
        <v>0.6</v>
      </c>
      <c r="F54" s="138">
        <v>1.0</v>
      </c>
      <c r="G54" s="38"/>
      <c r="H54" s="38"/>
      <c r="I54" s="38">
        <f t="shared" si="2"/>
        <v>1</v>
      </c>
      <c r="J54" s="25">
        <f t="shared" si="3"/>
        <v>0.6666666667</v>
      </c>
      <c r="K54" s="38"/>
      <c r="L54" s="54" t="s">
        <v>211</v>
      </c>
      <c r="M54" s="29" t="str">
        <f t="shared" si="4"/>
        <v>BIEN</v>
      </c>
    </row>
    <row r="55" ht="15.75" customHeight="1">
      <c r="B55" s="140" t="s">
        <v>374</v>
      </c>
      <c r="C55" s="149" t="s">
        <v>404</v>
      </c>
      <c r="D55" s="43"/>
      <c r="E55" s="52">
        <f t="shared" si="1"/>
        <v>1.2</v>
      </c>
      <c r="F55" s="138">
        <v>2.0</v>
      </c>
      <c r="G55" s="38"/>
      <c r="H55" s="38"/>
      <c r="I55" s="38">
        <f t="shared" si="2"/>
        <v>2</v>
      </c>
      <c r="J55" s="25">
        <f t="shared" si="3"/>
        <v>0.6666666667</v>
      </c>
      <c r="K55" s="38"/>
      <c r="L55" s="54" t="s">
        <v>211</v>
      </c>
      <c r="M55" s="29" t="str">
        <f t="shared" si="4"/>
        <v>BIEN</v>
      </c>
    </row>
    <row r="56" ht="15.75" customHeight="1">
      <c r="B56" s="140" t="s">
        <v>374</v>
      </c>
      <c r="C56" s="149" t="s">
        <v>408</v>
      </c>
      <c r="D56" s="43"/>
      <c r="E56" s="52">
        <f t="shared" si="1"/>
        <v>0.6</v>
      </c>
      <c r="F56" s="138">
        <v>1.0</v>
      </c>
      <c r="G56" s="38"/>
      <c r="H56" s="38"/>
      <c r="I56" s="38">
        <f t="shared" si="2"/>
        <v>1</v>
      </c>
      <c r="J56" s="25">
        <f t="shared" si="3"/>
        <v>0.6666666667</v>
      </c>
      <c r="K56" s="38"/>
      <c r="L56" s="54" t="s">
        <v>211</v>
      </c>
      <c r="M56" s="29" t="str">
        <f t="shared" si="4"/>
        <v>BIEN</v>
      </c>
    </row>
    <row r="57" ht="15.75" customHeight="1">
      <c r="B57" s="140" t="s">
        <v>374</v>
      </c>
      <c r="C57" s="149" t="s">
        <v>411</v>
      </c>
      <c r="D57" s="43"/>
      <c r="E57" s="52">
        <f t="shared" si="1"/>
        <v>0.6</v>
      </c>
      <c r="F57" s="138">
        <v>1.0</v>
      </c>
      <c r="G57" s="38"/>
      <c r="H57" s="38"/>
      <c r="I57" s="38">
        <f t="shared" si="2"/>
        <v>1</v>
      </c>
      <c r="J57" s="25">
        <f t="shared" si="3"/>
        <v>0.6666666667</v>
      </c>
      <c r="K57" s="38"/>
      <c r="L57" s="54" t="s">
        <v>211</v>
      </c>
      <c r="M57" s="29" t="str">
        <f t="shared" si="4"/>
        <v>BIEN</v>
      </c>
    </row>
    <row r="58" ht="15.75" customHeight="1">
      <c r="B58" s="140" t="s">
        <v>374</v>
      </c>
      <c r="C58" s="43" t="s">
        <v>414</v>
      </c>
      <c r="D58" s="43"/>
      <c r="E58" s="52">
        <f t="shared" si="1"/>
        <v>2.4</v>
      </c>
      <c r="F58" s="235">
        <v>4.0</v>
      </c>
      <c r="G58" s="38"/>
      <c r="H58" s="38"/>
      <c r="I58" s="38">
        <f t="shared" si="2"/>
        <v>4</v>
      </c>
      <c r="J58" s="25">
        <f t="shared" si="3"/>
        <v>0.6666666667</v>
      </c>
      <c r="K58" s="38"/>
      <c r="L58" s="54" t="s">
        <v>211</v>
      </c>
      <c r="M58" s="29" t="str">
        <f t="shared" si="4"/>
        <v>BIEN</v>
      </c>
    </row>
    <row r="59" ht="15.75" customHeight="1">
      <c r="B59" s="140" t="s">
        <v>374</v>
      </c>
      <c r="C59" s="43" t="s">
        <v>416</v>
      </c>
      <c r="D59" s="43"/>
      <c r="E59" s="52">
        <f t="shared" si="1"/>
        <v>3</v>
      </c>
      <c r="F59" s="235">
        <v>5.0</v>
      </c>
      <c r="G59" s="38"/>
      <c r="H59" s="38"/>
      <c r="I59" s="38">
        <f t="shared" si="2"/>
        <v>5</v>
      </c>
      <c r="J59" s="25">
        <f t="shared" si="3"/>
        <v>0.6666666667</v>
      </c>
      <c r="K59" s="38"/>
      <c r="L59" s="54" t="s">
        <v>211</v>
      </c>
      <c r="M59" s="29" t="str">
        <f t="shared" si="4"/>
        <v>BIEN</v>
      </c>
    </row>
    <row r="60" ht="15.75" customHeight="1">
      <c r="B60" s="140" t="s">
        <v>374</v>
      </c>
      <c r="C60" s="149" t="s">
        <v>419</v>
      </c>
      <c r="D60" s="43"/>
      <c r="E60" s="52">
        <f t="shared" si="1"/>
        <v>0.6</v>
      </c>
      <c r="F60" s="235">
        <v>1.0</v>
      </c>
      <c r="G60" s="38"/>
      <c r="H60" s="38"/>
      <c r="I60" s="38">
        <f t="shared" si="2"/>
        <v>1</v>
      </c>
      <c r="J60" s="25">
        <f t="shared" si="3"/>
        <v>0.6666666667</v>
      </c>
      <c r="K60" s="38"/>
      <c r="L60" s="54" t="s">
        <v>211</v>
      </c>
      <c r="M60" s="29" t="str">
        <f t="shared" si="4"/>
        <v>BIEN</v>
      </c>
    </row>
    <row r="61" ht="15.75" customHeight="1">
      <c r="B61" s="140" t="s">
        <v>374</v>
      </c>
      <c r="C61" s="149" t="s">
        <v>421</v>
      </c>
      <c r="D61" s="43"/>
      <c r="E61" s="52">
        <f t="shared" si="1"/>
        <v>0.6</v>
      </c>
      <c r="F61" s="235">
        <v>1.0</v>
      </c>
      <c r="G61" s="38"/>
      <c r="H61" s="38"/>
      <c r="I61" s="38">
        <f t="shared" si="2"/>
        <v>1</v>
      </c>
      <c r="J61" s="25">
        <f t="shared" si="3"/>
        <v>0.6666666667</v>
      </c>
      <c r="K61" s="38"/>
      <c r="L61" s="54" t="s">
        <v>211</v>
      </c>
      <c r="M61" s="29" t="str">
        <f t="shared" si="4"/>
        <v>BIEN</v>
      </c>
    </row>
    <row r="62" ht="15.75" customHeight="1">
      <c r="B62" s="140" t="s">
        <v>374</v>
      </c>
      <c r="C62" s="149" t="s">
        <v>423</v>
      </c>
      <c r="D62" s="43"/>
      <c r="E62" s="52">
        <f t="shared" si="1"/>
        <v>0.6</v>
      </c>
      <c r="F62" s="235">
        <v>1.0</v>
      </c>
      <c r="G62" s="38"/>
      <c r="H62" s="38"/>
      <c r="I62" s="38">
        <f t="shared" si="2"/>
        <v>1</v>
      </c>
      <c r="J62" s="25">
        <f t="shared" si="3"/>
        <v>0.6666666667</v>
      </c>
      <c r="K62" s="38"/>
      <c r="L62" s="54" t="s">
        <v>211</v>
      </c>
      <c r="M62" s="29" t="str">
        <f t="shared" si="4"/>
        <v>BIEN</v>
      </c>
    </row>
    <row r="63" ht="15.75" customHeight="1">
      <c r="B63" s="140" t="s">
        <v>374</v>
      </c>
      <c r="C63" s="149" t="s">
        <v>424</v>
      </c>
      <c r="D63" s="43"/>
      <c r="E63" s="52">
        <f t="shared" si="1"/>
        <v>0.6</v>
      </c>
      <c r="F63" s="235">
        <v>1.0</v>
      </c>
      <c r="G63" s="38"/>
      <c r="H63" s="38"/>
      <c r="I63" s="38">
        <f t="shared" si="2"/>
        <v>1</v>
      </c>
      <c r="J63" s="25">
        <f t="shared" si="3"/>
        <v>0.6666666667</v>
      </c>
      <c r="K63" s="38"/>
      <c r="L63" s="54" t="s">
        <v>211</v>
      </c>
      <c r="M63" s="29" t="str">
        <f t="shared" si="4"/>
        <v>BIEN</v>
      </c>
    </row>
    <row r="64" ht="15.75" customHeight="1">
      <c r="B64" s="140" t="s">
        <v>374</v>
      </c>
      <c r="C64" s="149" t="s">
        <v>426</v>
      </c>
      <c r="D64" s="43"/>
      <c r="E64" s="52">
        <f t="shared" si="1"/>
        <v>0.6</v>
      </c>
      <c r="F64" s="235">
        <v>1.0</v>
      </c>
      <c r="G64" s="38"/>
      <c r="H64" s="38"/>
      <c r="I64" s="38">
        <f t="shared" si="2"/>
        <v>1</v>
      </c>
      <c r="J64" s="25">
        <f t="shared" si="3"/>
        <v>0.6666666667</v>
      </c>
      <c r="K64" s="38"/>
      <c r="L64" s="54" t="s">
        <v>211</v>
      </c>
      <c r="M64" s="29" t="str">
        <f t="shared" si="4"/>
        <v>BIEN</v>
      </c>
    </row>
    <row r="65" ht="15.75" customHeight="1">
      <c r="B65" s="140" t="s">
        <v>374</v>
      </c>
      <c r="C65" s="149" t="s">
        <v>428</v>
      </c>
      <c r="D65" s="43"/>
      <c r="E65" s="52">
        <f t="shared" si="1"/>
        <v>0.6</v>
      </c>
      <c r="F65" s="235">
        <v>1.0</v>
      </c>
      <c r="G65" s="38"/>
      <c r="H65" s="38"/>
      <c r="I65" s="38">
        <f t="shared" si="2"/>
        <v>1</v>
      </c>
      <c r="J65" s="25">
        <f t="shared" si="3"/>
        <v>0.6666666667</v>
      </c>
      <c r="K65" s="38"/>
      <c r="L65" s="54" t="s">
        <v>211</v>
      </c>
      <c r="M65" s="29" t="str">
        <f t="shared" si="4"/>
        <v>BIEN</v>
      </c>
    </row>
    <row r="66" ht="15.75" customHeight="1">
      <c r="B66" s="140" t="s">
        <v>374</v>
      </c>
      <c r="C66" s="149" t="s">
        <v>432</v>
      </c>
      <c r="D66" s="43"/>
      <c r="E66" s="52">
        <f t="shared" si="1"/>
        <v>0.6</v>
      </c>
      <c r="F66" s="235">
        <v>1.0</v>
      </c>
      <c r="G66" s="38"/>
      <c r="H66" s="38"/>
      <c r="I66" s="38">
        <f t="shared" si="2"/>
        <v>1</v>
      </c>
      <c r="J66" s="25">
        <f t="shared" si="3"/>
        <v>0.6666666667</v>
      </c>
      <c r="K66" s="38"/>
      <c r="L66" s="54" t="s">
        <v>211</v>
      </c>
      <c r="M66" s="29" t="str">
        <f t="shared" si="4"/>
        <v>BIEN</v>
      </c>
    </row>
    <row r="67" ht="15.75" customHeight="1">
      <c r="B67" s="140" t="s">
        <v>374</v>
      </c>
      <c r="C67" s="149" t="s">
        <v>375</v>
      </c>
      <c r="D67" s="43"/>
      <c r="E67" s="52">
        <f t="shared" si="1"/>
        <v>0.6</v>
      </c>
      <c r="F67" s="235">
        <v>1.0</v>
      </c>
      <c r="G67" s="38"/>
      <c r="H67" s="38"/>
      <c r="I67" s="38">
        <f t="shared" si="2"/>
        <v>1</v>
      </c>
      <c r="J67" s="25">
        <f t="shared" si="3"/>
        <v>0.6666666667</v>
      </c>
      <c r="K67" s="38"/>
      <c r="L67" s="54" t="s">
        <v>211</v>
      </c>
      <c r="M67" s="29" t="str">
        <f t="shared" si="4"/>
        <v>BIEN</v>
      </c>
    </row>
    <row r="68" ht="15.75" customHeight="1">
      <c r="B68" s="140" t="s">
        <v>374</v>
      </c>
      <c r="C68" s="149" t="s">
        <v>381</v>
      </c>
      <c r="D68" s="43"/>
      <c r="E68" s="52">
        <f t="shared" si="1"/>
        <v>1.2</v>
      </c>
      <c r="F68" s="235">
        <v>2.0</v>
      </c>
      <c r="G68" s="38"/>
      <c r="H68" s="38"/>
      <c r="I68" s="38">
        <f t="shared" si="2"/>
        <v>2</v>
      </c>
      <c r="J68" s="25">
        <f t="shared" si="3"/>
        <v>0.6666666667</v>
      </c>
      <c r="K68" s="38"/>
      <c r="L68" s="54" t="s">
        <v>211</v>
      </c>
      <c r="M68" s="29" t="str">
        <f t="shared" si="4"/>
        <v>BIEN</v>
      </c>
    </row>
    <row r="69" ht="15.75" customHeight="1">
      <c r="B69" s="140" t="s">
        <v>374</v>
      </c>
      <c r="C69" s="149" t="s">
        <v>433</v>
      </c>
      <c r="D69" s="43"/>
      <c r="E69" s="52">
        <v>1.0</v>
      </c>
      <c r="F69" s="235">
        <v>3.0</v>
      </c>
      <c r="G69" s="38"/>
      <c r="H69" s="38">
        <v>1.0</v>
      </c>
      <c r="I69" s="38">
        <f t="shared" si="2"/>
        <v>2</v>
      </c>
      <c r="J69" s="25">
        <f t="shared" si="3"/>
        <v>1</v>
      </c>
      <c r="K69" s="38"/>
      <c r="L69" s="54" t="s">
        <v>211</v>
      </c>
      <c r="M69" s="29" t="str">
        <f t="shared" si="4"/>
        <v>BIEN</v>
      </c>
    </row>
    <row r="70" ht="15.75" customHeight="1">
      <c r="B70" s="140" t="s">
        <v>374</v>
      </c>
      <c r="C70" s="149" t="s">
        <v>296</v>
      </c>
      <c r="D70" s="43"/>
      <c r="E70" s="52">
        <v>2.0</v>
      </c>
      <c r="F70" s="235">
        <v>1.0</v>
      </c>
      <c r="G70" s="38"/>
      <c r="H70" s="38"/>
      <c r="I70" s="38">
        <f t="shared" si="2"/>
        <v>1</v>
      </c>
      <c r="J70" s="25">
        <f t="shared" si="3"/>
        <v>0</v>
      </c>
      <c r="K70" s="38"/>
      <c r="L70" s="54" t="s">
        <v>211</v>
      </c>
      <c r="M70" s="29" t="str">
        <f t="shared" si="4"/>
        <v>CRITICO</v>
      </c>
    </row>
    <row r="71" ht="15.75" customHeight="1">
      <c r="B71" s="140" t="s">
        <v>374</v>
      </c>
      <c r="C71" s="149" t="s">
        <v>387</v>
      </c>
      <c r="D71" s="43"/>
      <c r="E71" s="52">
        <v>2.0</v>
      </c>
      <c r="F71" s="235">
        <v>1.0</v>
      </c>
      <c r="G71" s="38"/>
      <c r="H71" s="38"/>
      <c r="I71" s="38">
        <f t="shared" si="2"/>
        <v>1</v>
      </c>
      <c r="J71" s="25">
        <f t="shared" si="3"/>
        <v>0</v>
      </c>
      <c r="K71" s="38"/>
      <c r="L71" s="54" t="s">
        <v>211</v>
      </c>
      <c r="M71" s="29" t="str">
        <f t="shared" si="4"/>
        <v>CRITICO</v>
      </c>
    </row>
    <row r="72" ht="15.75" customHeight="1">
      <c r="B72" s="140" t="s">
        <v>374</v>
      </c>
      <c r="C72" s="149" t="s">
        <v>392</v>
      </c>
      <c r="D72" s="43"/>
      <c r="E72" s="52">
        <v>1.0</v>
      </c>
      <c r="F72" s="235">
        <v>2.0</v>
      </c>
      <c r="G72" s="38"/>
      <c r="H72" s="38"/>
      <c r="I72" s="38">
        <f t="shared" si="2"/>
        <v>2</v>
      </c>
      <c r="J72" s="25">
        <f t="shared" si="3"/>
        <v>1</v>
      </c>
      <c r="K72" s="38"/>
      <c r="L72" s="54" t="s">
        <v>211</v>
      </c>
      <c r="M72" s="29" t="str">
        <f t="shared" si="4"/>
        <v>BIEN</v>
      </c>
    </row>
    <row r="73" ht="15.75" customHeight="1">
      <c r="B73" s="140" t="s">
        <v>374</v>
      </c>
      <c r="C73" s="149" t="s">
        <v>399</v>
      </c>
      <c r="D73" s="43"/>
      <c r="E73" s="250">
        <v>2.0</v>
      </c>
      <c r="F73" s="235">
        <v>2.0</v>
      </c>
      <c r="G73" s="38"/>
      <c r="H73" s="38"/>
      <c r="I73" s="38">
        <f t="shared" si="2"/>
        <v>2</v>
      </c>
      <c r="J73" s="25">
        <f t="shared" si="3"/>
        <v>0</v>
      </c>
      <c r="K73" s="251" t="s">
        <v>434</v>
      </c>
      <c r="L73" s="54" t="s">
        <v>211</v>
      </c>
      <c r="M73" s="29" t="str">
        <f t="shared" si="4"/>
        <v>CRITICO</v>
      </c>
    </row>
    <row r="74" ht="15.75" customHeight="1">
      <c r="B74" s="140" t="s">
        <v>374</v>
      </c>
      <c r="C74" s="149" t="s">
        <v>404</v>
      </c>
      <c r="D74" s="43"/>
      <c r="E74" s="52">
        <v>1.0</v>
      </c>
      <c r="F74" s="235">
        <v>2.0</v>
      </c>
      <c r="G74" s="38"/>
      <c r="H74" s="38"/>
      <c r="I74" s="38">
        <f t="shared" si="2"/>
        <v>2</v>
      </c>
      <c r="J74" s="25">
        <f t="shared" si="3"/>
        <v>1</v>
      </c>
      <c r="K74" s="38"/>
      <c r="L74" s="54" t="s">
        <v>211</v>
      </c>
      <c r="M74" s="29" t="str">
        <f t="shared" si="4"/>
        <v>BIEN</v>
      </c>
    </row>
    <row r="75" ht="15.75" customHeight="1">
      <c r="B75" s="140" t="s">
        <v>374</v>
      </c>
      <c r="C75" s="149" t="s">
        <v>408</v>
      </c>
      <c r="D75" s="43"/>
      <c r="E75" s="52">
        <v>1.0</v>
      </c>
      <c r="F75" s="235">
        <v>1.0</v>
      </c>
      <c r="G75" s="38"/>
      <c r="H75" s="38"/>
      <c r="I75" s="38">
        <f t="shared" si="2"/>
        <v>1</v>
      </c>
      <c r="J75" s="25">
        <f t="shared" si="3"/>
        <v>0</v>
      </c>
      <c r="K75" s="38"/>
      <c r="L75" s="54" t="s">
        <v>211</v>
      </c>
      <c r="M75" s="29" t="str">
        <f t="shared" si="4"/>
        <v>CRITICO</v>
      </c>
    </row>
    <row r="76" ht="15.75" customHeight="1">
      <c r="B76" s="140" t="s">
        <v>374</v>
      </c>
      <c r="C76" s="149" t="s">
        <v>411</v>
      </c>
      <c r="D76" s="43"/>
      <c r="E76" s="52">
        <v>1.0</v>
      </c>
      <c r="F76" s="235">
        <v>1.0</v>
      </c>
      <c r="G76" s="38"/>
      <c r="H76" s="38"/>
      <c r="I76" s="38">
        <f t="shared" si="2"/>
        <v>1</v>
      </c>
      <c r="J76" s="25">
        <f t="shared" si="3"/>
        <v>0</v>
      </c>
      <c r="K76" s="38"/>
      <c r="L76" s="54" t="s">
        <v>211</v>
      </c>
      <c r="M76" s="29" t="str">
        <f t="shared" si="4"/>
        <v>CRITICO</v>
      </c>
    </row>
    <row r="77" ht="15.75" customHeight="1">
      <c r="B77" s="140" t="s">
        <v>172</v>
      </c>
      <c r="C77" s="149" t="s">
        <v>435</v>
      </c>
      <c r="D77" s="43"/>
      <c r="E77" s="52">
        <v>1.0</v>
      </c>
      <c r="F77" s="235">
        <v>1.0</v>
      </c>
      <c r="G77" s="38"/>
      <c r="H77" s="38"/>
      <c r="I77" s="38">
        <f t="shared" si="2"/>
        <v>1</v>
      </c>
      <c r="J77" s="25">
        <f t="shared" si="3"/>
        <v>0</v>
      </c>
      <c r="K77" s="38"/>
      <c r="L77" s="54" t="s">
        <v>211</v>
      </c>
      <c r="M77" s="29" t="str">
        <f t="shared" si="4"/>
        <v>CRITICO</v>
      </c>
    </row>
    <row r="78" ht="15.75" customHeight="1">
      <c r="B78" s="140" t="s">
        <v>436</v>
      </c>
      <c r="C78" s="149" t="s">
        <v>437</v>
      </c>
      <c r="D78" s="43"/>
      <c r="E78" s="52">
        <v>1.0</v>
      </c>
      <c r="F78" s="138">
        <v>2500.0</v>
      </c>
      <c r="G78" s="38"/>
      <c r="H78" s="38"/>
      <c r="I78" s="38">
        <f t="shared" si="2"/>
        <v>2500</v>
      </c>
      <c r="J78" s="25">
        <f t="shared" si="3"/>
        <v>1</v>
      </c>
      <c r="K78" s="38"/>
      <c r="L78" s="54" t="s">
        <v>211</v>
      </c>
      <c r="M78" s="29" t="str">
        <f t="shared" si="4"/>
        <v>BIEN</v>
      </c>
    </row>
    <row r="79" ht="15.75" customHeight="1">
      <c r="B79" s="140" t="s">
        <v>436</v>
      </c>
      <c r="C79" s="149" t="s">
        <v>438</v>
      </c>
      <c r="D79" s="43"/>
      <c r="E79" s="52">
        <v>10.0</v>
      </c>
      <c r="F79" s="138">
        <v>35.0</v>
      </c>
      <c r="G79" s="38"/>
      <c r="H79" s="38"/>
      <c r="I79" s="38">
        <f t="shared" si="2"/>
        <v>35</v>
      </c>
      <c r="J79" s="25">
        <f t="shared" si="3"/>
        <v>1</v>
      </c>
      <c r="K79" s="38"/>
      <c r="L79" s="54" t="s">
        <v>211</v>
      </c>
      <c r="M79" s="29" t="str">
        <f t="shared" si="4"/>
        <v>BIEN</v>
      </c>
    </row>
    <row r="80" ht="15.75" customHeight="1">
      <c r="B80" s="140" t="s">
        <v>436</v>
      </c>
      <c r="C80" s="149" t="s">
        <v>318</v>
      </c>
      <c r="D80" s="43"/>
      <c r="E80" s="52">
        <v>4.0</v>
      </c>
      <c r="F80" s="138">
        <v>38.0</v>
      </c>
      <c r="G80" s="38"/>
      <c r="H80" s="38"/>
      <c r="I80" s="38">
        <f t="shared" si="2"/>
        <v>38</v>
      </c>
      <c r="J80" s="25">
        <f t="shared" si="3"/>
        <v>1</v>
      </c>
      <c r="K80" s="38"/>
      <c r="L80" s="54" t="s">
        <v>211</v>
      </c>
      <c r="M80" s="29" t="str">
        <f t="shared" si="4"/>
        <v>BIEN</v>
      </c>
    </row>
    <row r="81" ht="15.75" customHeight="1">
      <c r="B81" s="140" t="s">
        <v>436</v>
      </c>
      <c r="C81" s="149" t="s">
        <v>217</v>
      </c>
      <c r="D81" s="43"/>
      <c r="E81" s="52">
        <v>4.0</v>
      </c>
      <c r="F81" s="138">
        <v>42.0</v>
      </c>
      <c r="G81" s="38"/>
      <c r="H81" s="38"/>
      <c r="I81" s="38">
        <f t="shared" si="2"/>
        <v>42</v>
      </c>
      <c r="J81" s="25">
        <f t="shared" si="3"/>
        <v>1</v>
      </c>
      <c r="K81" s="38"/>
      <c r="L81" s="54" t="s">
        <v>211</v>
      </c>
      <c r="M81" s="29" t="str">
        <f t="shared" si="4"/>
        <v>BIEN</v>
      </c>
    </row>
    <row r="82" ht="15.75" customHeight="1">
      <c r="B82" s="140" t="s">
        <v>436</v>
      </c>
      <c r="C82" s="149" t="s">
        <v>320</v>
      </c>
      <c r="D82" s="43"/>
      <c r="E82" s="52">
        <v>1.0</v>
      </c>
      <c r="F82" s="138">
        <v>30.0</v>
      </c>
      <c r="G82" s="38"/>
      <c r="H82" s="38"/>
      <c r="I82" s="38">
        <f t="shared" si="2"/>
        <v>30</v>
      </c>
      <c r="J82" s="25">
        <f t="shared" si="3"/>
        <v>1</v>
      </c>
      <c r="K82" s="38"/>
      <c r="L82" s="54" t="s">
        <v>211</v>
      </c>
      <c r="M82" s="29" t="str">
        <f t="shared" si="4"/>
        <v>BIEN</v>
      </c>
    </row>
    <row r="83" ht="15.75" customHeight="1">
      <c r="B83" s="140" t="s">
        <v>436</v>
      </c>
      <c r="C83" s="149" t="s">
        <v>439</v>
      </c>
      <c r="D83" s="43"/>
      <c r="E83" s="52">
        <v>1.0</v>
      </c>
      <c r="F83" s="138">
        <v>1.0</v>
      </c>
      <c r="G83" s="38"/>
      <c r="H83" s="38"/>
      <c r="I83" s="38">
        <f t="shared" si="2"/>
        <v>1</v>
      </c>
      <c r="J83" s="25">
        <f t="shared" si="3"/>
        <v>0</v>
      </c>
      <c r="K83" s="38"/>
      <c r="L83" s="54" t="s">
        <v>211</v>
      </c>
      <c r="M83" s="29" t="str">
        <f t="shared" si="4"/>
        <v>CRITICO</v>
      </c>
    </row>
    <row r="84" ht="15.75" customHeight="1">
      <c r="B84" s="140" t="s">
        <v>436</v>
      </c>
      <c r="C84" s="149" t="s">
        <v>440</v>
      </c>
      <c r="D84" s="43"/>
      <c r="E84" s="52">
        <v>1.0</v>
      </c>
      <c r="F84" s="138">
        <v>1.0</v>
      </c>
      <c r="G84" s="38"/>
      <c r="H84" s="38"/>
      <c r="I84" s="38">
        <f t="shared" si="2"/>
        <v>1</v>
      </c>
      <c r="J84" s="25">
        <f t="shared" si="3"/>
        <v>0</v>
      </c>
      <c r="K84" s="38"/>
      <c r="L84" s="54" t="s">
        <v>211</v>
      </c>
      <c r="M84" s="29" t="str">
        <f t="shared" si="4"/>
        <v>CRITICO</v>
      </c>
    </row>
    <row r="85" ht="15.75" customHeight="1">
      <c r="B85" s="140" t="s">
        <v>436</v>
      </c>
      <c r="C85" s="149" t="s">
        <v>441</v>
      </c>
      <c r="D85" s="43"/>
      <c r="E85" s="52">
        <v>1.0</v>
      </c>
      <c r="F85" s="138">
        <v>1.0</v>
      </c>
      <c r="G85" s="38"/>
      <c r="H85" s="38"/>
      <c r="I85" s="38">
        <f t="shared" si="2"/>
        <v>1</v>
      </c>
      <c r="J85" s="25">
        <f t="shared" si="3"/>
        <v>0</v>
      </c>
      <c r="K85" s="38"/>
      <c r="L85" s="54" t="s">
        <v>211</v>
      </c>
      <c r="M85" s="29" t="str">
        <f t="shared" si="4"/>
        <v>CRITICO</v>
      </c>
    </row>
    <row r="86" ht="15.75" customHeight="1">
      <c r="B86" s="140" t="s">
        <v>436</v>
      </c>
      <c r="C86" s="149" t="s">
        <v>442</v>
      </c>
      <c r="D86" s="43"/>
      <c r="E86" s="52">
        <v>1.0</v>
      </c>
      <c r="F86" s="138">
        <v>2.0</v>
      </c>
      <c r="G86" s="38"/>
      <c r="H86" s="38"/>
      <c r="I86" s="38">
        <f t="shared" si="2"/>
        <v>2</v>
      </c>
      <c r="J86" s="25">
        <f t="shared" si="3"/>
        <v>1</v>
      </c>
      <c r="K86" s="38"/>
      <c r="L86" s="54" t="s">
        <v>211</v>
      </c>
      <c r="M86" s="29" t="str">
        <f t="shared" si="4"/>
        <v>BIEN</v>
      </c>
    </row>
    <row r="87" ht="15.75" customHeight="1">
      <c r="B87" s="140" t="s">
        <v>436</v>
      </c>
      <c r="C87" s="149" t="s">
        <v>208</v>
      </c>
      <c r="D87" s="43"/>
      <c r="E87" s="52">
        <v>1.0</v>
      </c>
      <c r="F87" s="138">
        <v>5.0</v>
      </c>
      <c r="G87" s="38"/>
      <c r="H87" s="38"/>
      <c r="I87" s="38">
        <f t="shared" si="2"/>
        <v>5</v>
      </c>
      <c r="J87" s="25">
        <f t="shared" si="3"/>
        <v>1</v>
      </c>
      <c r="K87" s="38"/>
      <c r="L87" s="54" t="s">
        <v>211</v>
      </c>
      <c r="M87" s="29" t="str">
        <f t="shared" si="4"/>
        <v>BIEN</v>
      </c>
    </row>
    <row r="88" ht="15.75" customHeight="1">
      <c r="B88" s="140" t="s">
        <v>436</v>
      </c>
      <c r="C88" s="149" t="s">
        <v>443</v>
      </c>
      <c r="D88" s="43"/>
      <c r="E88" s="52">
        <v>1.0</v>
      </c>
      <c r="F88" s="138">
        <v>11.0</v>
      </c>
      <c r="G88" s="38"/>
      <c r="H88" s="38"/>
      <c r="I88" s="38">
        <f t="shared" si="2"/>
        <v>11</v>
      </c>
      <c r="J88" s="25">
        <f t="shared" si="3"/>
        <v>1</v>
      </c>
      <c r="K88" s="38"/>
      <c r="L88" s="54" t="s">
        <v>211</v>
      </c>
      <c r="M88" s="29" t="str">
        <f t="shared" si="4"/>
        <v>BIEN</v>
      </c>
    </row>
    <row r="89" ht="15.75" customHeight="1">
      <c r="B89" s="140" t="s">
        <v>436</v>
      </c>
      <c r="C89" s="149" t="s">
        <v>444</v>
      </c>
      <c r="D89" s="43"/>
      <c r="E89" s="52">
        <v>1.0</v>
      </c>
      <c r="F89" s="138">
        <v>4.0</v>
      </c>
      <c r="G89" s="38"/>
      <c r="H89" s="38"/>
      <c r="I89" s="38">
        <f t="shared" si="2"/>
        <v>4</v>
      </c>
      <c r="J89" s="25">
        <f t="shared" si="3"/>
        <v>1</v>
      </c>
      <c r="K89" s="38"/>
      <c r="L89" s="54" t="s">
        <v>211</v>
      </c>
      <c r="M89" s="29" t="str">
        <f t="shared" si="4"/>
        <v>BIEN</v>
      </c>
    </row>
    <row r="90" ht="15.75" customHeight="1">
      <c r="B90" s="140" t="s">
        <v>436</v>
      </c>
      <c r="C90" s="149" t="s">
        <v>446</v>
      </c>
      <c r="D90" s="43"/>
      <c r="E90" s="52">
        <v>1.0</v>
      </c>
      <c r="F90" s="138">
        <v>3.0</v>
      </c>
      <c r="G90" s="38"/>
      <c r="H90" s="38"/>
      <c r="I90" s="38">
        <f t="shared" si="2"/>
        <v>3</v>
      </c>
      <c r="J90" s="25">
        <f t="shared" si="3"/>
        <v>1</v>
      </c>
      <c r="K90" s="38"/>
      <c r="L90" s="54" t="s">
        <v>211</v>
      </c>
      <c r="M90" s="29" t="str">
        <f t="shared" si="4"/>
        <v>BIEN</v>
      </c>
    </row>
    <row r="91" ht="15.75" customHeight="1">
      <c r="B91" s="140" t="s">
        <v>436</v>
      </c>
      <c r="C91" s="149" t="s">
        <v>447</v>
      </c>
      <c r="D91" s="43"/>
      <c r="E91" s="52">
        <v>1.0</v>
      </c>
      <c r="F91" s="138">
        <v>1.0</v>
      </c>
      <c r="G91" s="38"/>
      <c r="H91" s="38"/>
      <c r="I91" s="38">
        <f t="shared" si="2"/>
        <v>1</v>
      </c>
      <c r="J91" s="25">
        <f t="shared" si="3"/>
        <v>0</v>
      </c>
      <c r="K91" s="38"/>
      <c r="L91" s="54" t="s">
        <v>211</v>
      </c>
      <c r="M91" s="29" t="str">
        <f t="shared" si="4"/>
        <v>CRITICO</v>
      </c>
    </row>
    <row r="92" ht="15.75" customHeight="1">
      <c r="B92" s="140" t="s">
        <v>448</v>
      </c>
      <c r="C92" s="142" t="s">
        <v>449</v>
      </c>
      <c r="D92" s="43"/>
      <c r="E92" s="52">
        <v>1.0</v>
      </c>
      <c r="F92" s="138">
        <v>1.0</v>
      </c>
      <c r="G92" s="38"/>
      <c r="H92" s="38"/>
      <c r="I92" s="38">
        <f t="shared" si="2"/>
        <v>1</v>
      </c>
      <c r="J92" s="25">
        <f t="shared" si="3"/>
        <v>0</v>
      </c>
      <c r="K92" s="38"/>
      <c r="L92" s="54" t="s">
        <v>211</v>
      </c>
      <c r="M92" s="29" t="str">
        <f t="shared" si="4"/>
        <v>CRITICO</v>
      </c>
    </row>
    <row r="93" ht="15.75" customHeight="1">
      <c r="B93" s="140" t="s">
        <v>448</v>
      </c>
      <c r="C93" s="149" t="s">
        <v>450</v>
      </c>
      <c r="D93" s="43"/>
      <c r="E93" s="52">
        <v>1.0</v>
      </c>
      <c r="F93" s="138">
        <v>1.0</v>
      </c>
      <c r="G93" s="38"/>
      <c r="H93" s="38"/>
      <c r="I93" s="38">
        <f t="shared" si="2"/>
        <v>1</v>
      </c>
      <c r="J93" s="25">
        <f t="shared" si="3"/>
        <v>0</v>
      </c>
      <c r="K93" s="38"/>
      <c r="L93" s="54" t="s">
        <v>211</v>
      </c>
      <c r="M93" s="29" t="str">
        <f t="shared" si="4"/>
        <v>CRITICO</v>
      </c>
    </row>
    <row r="94" ht="15.75" customHeight="1">
      <c r="B94" s="140" t="s">
        <v>448</v>
      </c>
      <c r="C94" s="149" t="s">
        <v>451</v>
      </c>
      <c r="D94" s="43"/>
      <c r="E94" s="52">
        <v>1.0</v>
      </c>
      <c r="F94" s="138">
        <v>1.0</v>
      </c>
      <c r="G94" s="38"/>
      <c r="H94" s="38"/>
      <c r="I94" s="38">
        <f t="shared" si="2"/>
        <v>1</v>
      </c>
      <c r="J94" s="25">
        <f t="shared" si="3"/>
        <v>0</v>
      </c>
      <c r="K94" s="38"/>
      <c r="L94" s="54" t="s">
        <v>211</v>
      </c>
      <c r="M94" s="29" t="str">
        <f t="shared" si="4"/>
        <v>CRITICO</v>
      </c>
    </row>
    <row r="95" ht="15.75" customHeight="1">
      <c r="B95" s="140" t="s">
        <v>448</v>
      </c>
      <c r="C95" s="149" t="s">
        <v>453</v>
      </c>
      <c r="D95" s="43"/>
      <c r="E95" s="52">
        <v>1.0</v>
      </c>
      <c r="F95" s="138">
        <v>1.0</v>
      </c>
      <c r="G95" s="38"/>
      <c r="H95" s="38"/>
      <c r="I95" s="38">
        <f t="shared" si="2"/>
        <v>1</v>
      </c>
      <c r="J95" s="25">
        <f t="shared" si="3"/>
        <v>0</v>
      </c>
      <c r="K95" s="38"/>
      <c r="L95" s="54" t="s">
        <v>211</v>
      </c>
      <c r="M95" s="29" t="str">
        <f t="shared" si="4"/>
        <v>CRITICO</v>
      </c>
    </row>
    <row r="96" ht="15.75" customHeight="1">
      <c r="B96" s="140" t="s">
        <v>448</v>
      </c>
      <c r="C96" s="149" t="s">
        <v>454</v>
      </c>
      <c r="D96" s="43"/>
      <c r="E96" s="52">
        <v>1.0</v>
      </c>
      <c r="F96" s="138">
        <v>1.0</v>
      </c>
      <c r="G96" s="38"/>
      <c r="H96" s="38"/>
      <c r="I96" s="38">
        <f t="shared" si="2"/>
        <v>1</v>
      </c>
      <c r="J96" s="25">
        <f t="shared" si="3"/>
        <v>0</v>
      </c>
      <c r="K96" s="38"/>
      <c r="L96" s="54" t="s">
        <v>211</v>
      </c>
      <c r="M96" s="29" t="str">
        <f t="shared" si="4"/>
        <v>CRITICO</v>
      </c>
    </row>
    <row r="97" ht="15.75" customHeight="1">
      <c r="B97" s="140" t="s">
        <v>448</v>
      </c>
      <c r="C97" s="149" t="s">
        <v>455</v>
      </c>
      <c r="D97" s="43"/>
      <c r="E97" s="52">
        <v>1.0</v>
      </c>
      <c r="F97" s="138">
        <v>1.0</v>
      </c>
      <c r="G97" s="38"/>
      <c r="H97" s="38"/>
      <c r="I97" s="38">
        <f t="shared" si="2"/>
        <v>1</v>
      </c>
      <c r="J97" s="25">
        <f t="shared" si="3"/>
        <v>0</v>
      </c>
      <c r="K97" s="38"/>
      <c r="L97" s="54" t="s">
        <v>211</v>
      </c>
      <c r="M97" s="29" t="str">
        <f t="shared" si="4"/>
        <v>CRITICO</v>
      </c>
    </row>
    <row r="98" ht="15.75" customHeight="1">
      <c r="B98" s="140" t="s">
        <v>448</v>
      </c>
      <c r="C98" s="149" t="s">
        <v>456</v>
      </c>
      <c r="D98" s="43"/>
      <c r="E98" s="52">
        <f t="shared" ref="E98:E112" si="5">+F98*60%</f>
        <v>0.6</v>
      </c>
      <c r="F98" s="138">
        <v>1.0</v>
      </c>
      <c r="G98" s="38"/>
      <c r="H98" s="38"/>
      <c r="I98" s="38">
        <f t="shared" si="2"/>
        <v>1</v>
      </c>
      <c r="J98" s="25">
        <f t="shared" si="3"/>
        <v>0.6666666667</v>
      </c>
      <c r="K98" s="38"/>
      <c r="L98" s="54" t="s">
        <v>211</v>
      </c>
      <c r="M98" s="29" t="str">
        <f t="shared" si="4"/>
        <v>BIEN</v>
      </c>
    </row>
    <row r="99" ht="15.75" customHeight="1">
      <c r="B99" s="140" t="s">
        <v>448</v>
      </c>
      <c r="C99" s="149" t="s">
        <v>459</v>
      </c>
      <c r="D99" s="43"/>
      <c r="E99" s="52">
        <f t="shared" si="5"/>
        <v>0.6</v>
      </c>
      <c r="F99" s="138">
        <v>1.0</v>
      </c>
      <c r="G99" s="38"/>
      <c r="H99" s="38"/>
      <c r="I99" s="38">
        <f t="shared" si="2"/>
        <v>1</v>
      </c>
      <c r="J99" s="25">
        <f t="shared" si="3"/>
        <v>0.6666666667</v>
      </c>
      <c r="K99" s="38"/>
      <c r="L99" s="54" t="s">
        <v>211</v>
      </c>
      <c r="M99" s="29" t="str">
        <f t="shared" si="4"/>
        <v>BIEN</v>
      </c>
      <c r="N99" s="121">
        <v>0.25</v>
      </c>
      <c r="O99" s="121">
        <v>0.25</v>
      </c>
      <c r="P99" s="121">
        <v>1.0</v>
      </c>
    </row>
    <row r="100" ht="15.75" customHeight="1">
      <c r="B100" s="140" t="s">
        <v>448</v>
      </c>
      <c r="C100" s="149" t="s">
        <v>467</v>
      </c>
      <c r="D100" s="43"/>
      <c r="E100" s="52">
        <f t="shared" si="5"/>
        <v>0.6</v>
      </c>
      <c r="F100" s="138">
        <v>1.0</v>
      </c>
      <c r="G100" s="38"/>
      <c r="H100" s="38"/>
      <c r="I100" s="38">
        <f t="shared" si="2"/>
        <v>1</v>
      </c>
      <c r="J100" s="25">
        <f t="shared" si="3"/>
        <v>0.6666666667</v>
      </c>
      <c r="K100" s="38"/>
      <c r="L100" s="54" t="s">
        <v>211</v>
      </c>
      <c r="M100" s="29" t="str">
        <f t="shared" si="4"/>
        <v>BIEN</v>
      </c>
    </row>
    <row r="101" ht="15.75" customHeight="1">
      <c r="B101" s="140" t="s">
        <v>448</v>
      </c>
      <c r="C101" s="149" t="s">
        <v>459</v>
      </c>
      <c r="D101" s="43"/>
      <c r="E101" s="52">
        <f t="shared" si="5"/>
        <v>0.6</v>
      </c>
      <c r="F101" s="138">
        <v>1.0</v>
      </c>
      <c r="G101" s="38"/>
      <c r="H101" s="38"/>
      <c r="I101" s="38">
        <f t="shared" si="2"/>
        <v>1</v>
      </c>
      <c r="J101" s="25">
        <f t="shared" si="3"/>
        <v>0.6666666667</v>
      </c>
      <c r="K101" s="38"/>
      <c r="L101" s="54" t="s">
        <v>211</v>
      </c>
      <c r="M101" s="29" t="str">
        <f t="shared" si="4"/>
        <v>BIEN</v>
      </c>
    </row>
    <row r="102" ht="15.75" customHeight="1">
      <c r="B102" s="140" t="s">
        <v>448</v>
      </c>
      <c r="C102" s="149" t="s">
        <v>467</v>
      </c>
      <c r="D102" s="43"/>
      <c r="E102" s="52">
        <f t="shared" si="5"/>
        <v>0.6</v>
      </c>
      <c r="F102" s="175">
        <v>1.0</v>
      </c>
      <c r="G102" s="38"/>
      <c r="H102" s="38"/>
      <c r="I102" s="177">
        <f t="shared" si="2"/>
        <v>1</v>
      </c>
      <c r="J102" s="25">
        <f t="shared" si="3"/>
        <v>0.6666666667</v>
      </c>
      <c r="K102" s="38"/>
      <c r="L102" s="54" t="s">
        <v>211</v>
      </c>
      <c r="M102" s="29" t="str">
        <f t="shared" si="4"/>
        <v>BIEN</v>
      </c>
    </row>
    <row r="103" ht="15.75" customHeight="1">
      <c r="B103" s="140" t="s">
        <v>448</v>
      </c>
      <c r="C103" s="149" t="s">
        <v>482</v>
      </c>
      <c r="D103" s="43"/>
      <c r="E103" s="52">
        <f t="shared" si="5"/>
        <v>0.6</v>
      </c>
      <c r="F103" s="175">
        <v>1.0</v>
      </c>
      <c r="G103" s="38"/>
      <c r="H103" s="38"/>
      <c r="I103" s="177">
        <f t="shared" si="2"/>
        <v>1</v>
      </c>
      <c r="J103" s="25">
        <f t="shared" si="3"/>
        <v>0.6666666667</v>
      </c>
      <c r="K103" s="38"/>
      <c r="L103" s="54" t="s">
        <v>211</v>
      </c>
      <c r="M103" s="29" t="str">
        <f t="shared" si="4"/>
        <v>BIEN</v>
      </c>
    </row>
    <row r="104" ht="15.75" customHeight="1">
      <c r="B104" s="140" t="s">
        <v>448</v>
      </c>
      <c r="C104" s="149" t="s">
        <v>483</v>
      </c>
      <c r="D104" s="43"/>
      <c r="E104" s="52">
        <f t="shared" si="5"/>
        <v>0.6</v>
      </c>
      <c r="F104" s="175">
        <v>1.0</v>
      </c>
      <c r="G104" s="38"/>
      <c r="H104" s="38"/>
      <c r="I104" s="177">
        <f t="shared" si="2"/>
        <v>1</v>
      </c>
      <c r="J104" s="25">
        <f t="shared" si="3"/>
        <v>0.6666666667</v>
      </c>
      <c r="K104" s="38"/>
      <c r="L104" s="54" t="s">
        <v>211</v>
      </c>
      <c r="M104" s="29" t="str">
        <f t="shared" si="4"/>
        <v>BIEN</v>
      </c>
    </row>
    <row r="105" ht="15.75" customHeight="1">
      <c r="B105" s="140" t="s">
        <v>448</v>
      </c>
      <c r="C105" s="149" t="s">
        <v>484</v>
      </c>
      <c r="D105" s="43"/>
      <c r="E105" s="52">
        <f t="shared" si="5"/>
        <v>0.6</v>
      </c>
      <c r="F105" s="175">
        <v>1.0</v>
      </c>
      <c r="G105" s="38"/>
      <c r="H105" s="38"/>
      <c r="I105" s="177">
        <f t="shared" si="2"/>
        <v>1</v>
      </c>
      <c r="J105" s="25">
        <f t="shared" si="3"/>
        <v>0.6666666667</v>
      </c>
      <c r="K105" s="38"/>
      <c r="L105" s="54" t="s">
        <v>211</v>
      </c>
      <c r="M105" s="29" t="str">
        <f t="shared" si="4"/>
        <v>BIEN</v>
      </c>
    </row>
    <row r="106" ht="15.75" customHeight="1">
      <c r="B106" s="140" t="s">
        <v>448</v>
      </c>
      <c r="C106" s="149" t="s">
        <v>485</v>
      </c>
      <c r="D106" s="43"/>
      <c r="E106" s="52">
        <f t="shared" si="5"/>
        <v>0.6</v>
      </c>
      <c r="F106" s="175">
        <v>1.0</v>
      </c>
      <c r="G106" s="38"/>
      <c r="H106" s="38"/>
      <c r="I106" s="177">
        <f t="shared" si="2"/>
        <v>1</v>
      </c>
      <c r="J106" s="25">
        <f t="shared" si="3"/>
        <v>0.6666666667</v>
      </c>
      <c r="K106" s="38"/>
      <c r="L106" s="54" t="s">
        <v>211</v>
      </c>
      <c r="M106" s="29" t="str">
        <f t="shared" si="4"/>
        <v>BIEN</v>
      </c>
    </row>
    <row r="107" ht="15.75" customHeight="1">
      <c r="B107" s="140" t="s">
        <v>448</v>
      </c>
      <c r="C107" s="149" t="s">
        <v>486</v>
      </c>
      <c r="D107" s="43"/>
      <c r="E107" s="52">
        <f t="shared" si="5"/>
        <v>0.6</v>
      </c>
      <c r="F107" s="175">
        <v>1.0</v>
      </c>
      <c r="G107" s="38"/>
      <c r="H107" s="38"/>
      <c r="I107" s="177">
        <f t="shared" si="2"/>
        <v>1</v>
      </c>
      <c r="J107" s="25">
        <f t="shared" si="3"/>
        <v>0.6666666667</v>
      </c>
      <c r="K107" s="38"/>
      <c r="L107" s="54" t="s">
        <v>211</v>
      </c>
      <c r="M107" s="29" t="str">
        <f t="shared" si="4"/>
        <v>BIEN</v>
      </c>
    </row>
    <row r="108" ht="15.75" customHeight="1">
      <c r="B108" s="140" t="s">
        <v>448</v>
      </c>
      <c r="C108" s="149" t="s">
        <v>487</v>
      </c>
      <c r="D108" s="43"/>
      <c r="E108" s="52">
        <f t="shared" si="5"/>
        <v>0.6</v>
      </c>
      <c r="F108" s="175">
        <v>1.0</v>
      </c>
      <c r="G108" s="38"/>
      <c r="H108" s="38"/>
      <c r="I108" s="177">
        <f t="shared" si="2"/>
        <v>1</v>
      </c>
      <c r="J108" s="25">
        <f t="shared" si="3"/>
        <v>0.6666666667</v>
      </c>
      <c r="K108" s="38"/>
      <c r="L108" s="54" t="s">
        <v>211</v>
      </c>
      <c r="M108" s="29" t="str">
        <f t="shared" si="4"/>
        <v>BIEN</v>
      </c>
    </row>
    <row r="109" ht="15.75" customHeight="1">
      <c r="B109" s="140" t="s">
        <v>448</v>
      </c>
      <c r="C109" s="149" t="s">
        <v>488</v>
      </c>
      <c r="D109" s="43"/>
      <c r="E109" s="52">
        <f t="shared" si="5"/>
        <v>0.6</v>
      </c>
      <c r="F109" s="175">
        <v>1.0</v>
      </c>
      <c r="G109" s="38"/>
      <c r="H109" s="38"/>
      <c r="I109" s="177">
        <f t="shared" si="2"/>
        <v>1</v>
      </c>
      <c r="J109" s="25">
        <f t="shared" si="3"/>
        <v>0.6666666667</v>
      </c>
      <c r="K109" s="38"/>
      <c r="L109" s="54" t="s">
        <v>211</v>
      </c>
      <c r="M109" s="29" t="str">
        <f t="shared" si="4"/>
        <v>BIEN</v>
      </c>
    </row>
    <row r="110" ht="15.75" customHeight="1">
      <c r="B110" s="140" t="s">
        <v>448</v>
      </c>
      <c r="C110" s="149" t="s">
        <v>489</v>
      </c>
      <c r="D110" s="43"/>
      <c r="E110" s="52">
        <f t="shared" si="5"/>
        <v>0.6</v>
      </c>
      <c r="F110" s="175">
        <v>1.0</v>
      </c>
      <c r="G110" s="38"/>
      <c r="H110" s="38"/>
      <c r="I110" s="177">
        <f t="shared" si="2"/>
        <v>1</v>
      </c>
      <c r="J110" s="25">
        <f t="shared" si="3"/>
        <v>0.6666666667</v>
      </c>
      <c r="K110" s="38"/>
      <c r="L110" s="54" t="s">
        <v>211</v>
      </c>
      <c r="M110" s="29" t="str">
        <f t="shared" si="4"/>
        <v>BIEN</v>
      </c>
    </row>
    <row r="111" ht="15.75" customHeight="1">
      <c r="B111" s="140" t="s">
        <v>448</v>
      </c>
      <c r="C111" s="149" t="s">
        <v>490</v>
      </c>
      <c r="D111" s="43"/>
      <c r="E111" s="52">
        <f t="shared" si="5"/>
        <v>0.6</v>
      </c>
      <c r="F111" s="175">
        <v>1.0</v>
      </c>
      <c r="G111" s="38"/>
      <c r="H111" s="38"/>
      <c r="I111" s="177">
        <f t="shared" si="2"/>
        <v>1</v>
      </c>
      <c r="J111" s="25">
        <f t="shared" si="3"/>
        <v>0.6666666667</v>
      </c>
      <c r="K111" s="38"/>
      <c r="L111" s="54" t="s">
        <v>211</v>
      </c>
      <c r="M111" s="29" t="str">
        <f t="shared" si="4"/>
        <v>BIEN</v>
      </c>
    </row>
    <row r="112" ht="15.75" customHeight="1">
      <c r="B112" s="140" t="s">
        <v>448</v>
      </c>
      <c r="C112" s="149" t="s">
        <v>491</v>
      </c>
      <c r="D112" s="43"/>
      <c r="E112" s="52">
        <f t="shared" si="5"/>
        <v>0.6</v>
      </c>
      <c r="F112" s="258">
        <v>1.0</v>
      </c>
      <c r="G112" s="38"/>
      <c r="H112" s="38"/>
      <c r="I112" s="177">
        <f t="shared" si="2"/>
        <v>1</v>
      </c>
      <c r="J112" s="25">
        <f t="shared" si="3"/>
        <v>0.6666666667</v>
      </c>
      <c r="K112" s="38"/>
      <c r="L112" s="54" t="s">
        <v>211</v>
      </c>
      <c r="M112" s="29" t="str">
        <f t="shared" si="4"/>
        <v>BIEN</v>
      </c>
    </row>
    <row r="113" ht="15.75" customHeight="1">
      <c r="B113" s="140" t="s">
        <v>448</v>
      </c>
      <c r="C113" s="149" t="s">
        <v>492</v>
      </c>
      <c r="D113" s="43"/>
      <c r="E113" s="52">
        <v>1.0</v>
      </c>
      <c r="F113" s="258" t="s">
        <v>143</v>
      </c>
      <c r="G113" s="38"/>
      <c r="H113" s="38"/>
      <c r="I113" s="177">
        <f t="shared" si="2"/>
        <v>4</v>
      </c>
      <c r="J113" s="25">
        <f t="shared" si="3"/>
        <v>1</v>
      </c>
      <c r="K113" s="38"/>
      <c r="L113" s="54" t="s">
        <v>211</v>
      </c>
      <c r="M113" s="29" t="str">
        <f t="shared" si="4"/>
        <v>BIEN</v>
      </c>
    </row>
    <row r="114" ht="15.75" customHeight="1">
      <c r="B114" s="140" t="s">
        <v>493</v>
      </c>
      <c r="C114" s="142" t="s">
        <v>494</v>
      </c>
      <c r="D114" s="43"/>
      <c r="E114" s="52">
        <f t="shared" ref="E114:E136" si="6">+F114*60%</f>
        <v>0.6</v>
      </c>
      <c r="F114" s="258">
        <v>1.0</v>
      </c>
      <c r="G114" s="38"/>
      <c r="H114" s="38"/>
      <c r="I114" s="177">
        <f t="shared" si="2"/>
        <v>1</v>
      </c>
      <c r="J114" s="25">
        <f t="shared" si="3"/>
        <v>0.6666666667</v>
      </c>
      <c r="K114" s="38"/>
      <c r="L114" s="54" t="s">
        <v>211</v>
      </c>
      <c r="M114" s="29" t="str">
        <f t="shared" si="4"/>
        <v>BIEN</v>
      </c>
    </row>
    <row r="115" ht="15.75" customHeight="1">
      <c r="B115" s="140" t="s">
        <v>493</v>
      </c>
      <c r="C115" s="149" t="s">
        <v>495</v>
      </c>
      <c r="D115" s="43" t="s">
        <v>496</v>
      </c>
      <c r="E115" s="52">
        <f t="shared" si="6"/>
        <v>0.6</v>
      </c>
      <c r="F115" s="258">
        <v>1.0</v>
      </c>
      <c r="G115" s="38"/>
      <c r="H115" s="38"/>
      <c r="I115" s="177">
        <f t="shared" si="2"/>
        <v>1</v>
      </c>
      <c r="J115" s="25">
        <f t="shared" si="3"/>
        <v>0.6666666667</v>
      </c>
      <c r="K115" s="38"/>
      <c r="L115" s="54" t="s">
        <v>211</v>
      </c>
      <c r="M115" s="29" t="str">
        <f t="shared" si="4"/>
        <v>BIEN</v>
      </c>
    </row>
    <row r="116" ht="15.75" customHeight="1">
      <c r="B116" s="140" t="s">
        <v>493</v>
      </c>
      <c r="C116" s="149" t="s">
        <v>497</v>
      </c>
      <c r="D116" s="43" t="s">
        <v>496</v>
      </c>
      <c r="E116" s="52">
        <f t="shared" si="6"/>
        <v>0.6</v>
      </c>
      <c r="F116" s="258">
        <v>1.0</v>
      </c>
      <c r="G116" s="38"/>
      <c r="H116" s="38"/>
      <c r="I116" s="177">
        <f t="shared" si="2"/>
        <v>1</v>
      </c>
      <c r="J116" s="25">
        <f t="shared" si="3"/>
        <v>0.6666666667</v>
      </c>
      <c r="K116" s="38" t="s">
        <v>498</v>
      </c>
      <c r="L116" s="54" t="s">
        <v>211</v>
      </c>
      <c r="M116" s="29" t="str">
        <f t="shared" si="4"/>
        <v>BIEN</v>
      </c>
    </row>
    <row r="117" ht="15.75" customHeight="1">
      <c r="B117" s="140" t="s">
        <v>493</v>
      </c>
      <c r="C117" s="149" t="s">
        <v>499</v>
      </c>
      <c r="D117" s="43" t="s">
        <v>243</v>
      </c>
      <c r="E117" s="52">
        <f t="shared" si="6"/>
        <v>0.6</v>
      </c>
      <c r="F117" s="235">
        <v>1.0</v>
      </c>
      <c r="G117" s="38"/>
      <c r="H117" s="38"/>
      <c r="I117" s="38">
        <f t="shared" si="2"/>
        <v>1</v>
      </c>
      <c r="J117" s="25">
        <f t="shared" si="3"/>
        <v>0.6666666667</v>
      </c>
      <c r="K117" s="38"/>
      <c r="L117" s="54" t="s">
        <v>211</v>
      </c>
      <c r="M117" s="29" t="str">
        <f t="shared" si="4"/>
        <v>BIEN</v>
      </c>
    </row>
    <row r="118" ht="15.75" customHeight="1">
      <c r="B118" s="140" t="s">
        <v>493</v>
      </c>
      <c r="C118" s="149" t="s">
        <v>500</v>
      </c>
      <c r="D118" s="43" t="s">
        <v>501</v>
      </c>
      <c r="E118" s="52">
        <f t="shared" si="6"/>
        <v>1.8</v>
      </c>
      <c r="F118" s="235">
        <v>3.0</v>
      </c>
      <c r="G118" s="38"/>
      <c r="H118" s="38"/>
      <c r="I118" s="38">
        <f t="shared" si="2"/>
        <v>3</v>
      </c>
      <c r="J118" s="25">
        <f t="shared" si="3"/>
        <v>0.6666666667</v>
      </c>
      <c r="K118" s="38"/>
      <c r="L118" s="54" t="s">
        <v>211</v>
      </c>
      <c r="M118" s="29" t="str">
        <f t="shared" si="4"/>
        <v>BIEN</v>
      </c>
    </row>
    <row r="119" ht="15.75" customHeight="1">
      <c r="B119" s="140" t="s">
        <v>493</v>
      </c>
      <c r="C119" s="149" t="s">
        <v>502</v>
      </c>
      <c r="D119" s="43"/>
      <c r="E119" s="52">
        <f t="shared" si="6"/>
        <v>0.6</v>
      </c>
      <c r="F119" s="235">
        <v>1.0</v>
      </c>
      <c r="G119" s="38"/>
      <c r="H119" s="38"/>
      <c r="I119" s="38">
        <f t="shared" si="2"/>
        <v>1</v>
      </c>
      <c r="J119" s="25">
        <f t="shared" si="3"/>
        <v>0.6666666667</v>
      </c>
      <c r="K119" s="38"/>
      <c r="L119" s="54" t="s">
        <v>211</v>
      </c>
      <c r="M119" s="29" t="str">
        <f t="shared" si="4"/>
        <v>BIEN</v>
      </c>
    </row>
    <row r="120" ht="15.75" customHeight="1">
      <c r="B120" s="140" t="s">
        <v>493</v>
      </c>
      <c r="C120" s="149" t="s">
        <v>503</v>
      </c>
      <c r="D120" s="43"/>
      <c r="E120" s="52">
        <f t="shared" si="6"/>
        <v>0.6</v>
      </c>
      <c r="F120" s="235">
        <v>1.0</v>
      </c>
      <c r="G120" s="38"/>
      <c r="H120" s="38"/>
      <c r="I120" s="38">
        <f t="shared" si="2"/>
        <v>1</v>
      </c>
      <c r="J120" s="25">
        <f t="shared" si="3"/>
        <v>0.6666666667</v>
      </c>
      <c r="K120" s="38"/>
      <c r="L120" s="54" t="s">
        <v>211</v>
      </c>
      <c r="M120" s="29" t="str">
        <f t="shared" si="4"/>
        <v>BIEN</v>
      </c>
    </row>
    <row r="121" ht="15.75" customHeight="1">
      <c r="B121" s="140" t="s">
        <v>493</v>
      </c>
      <c r="C121" s="149" t="s">
        <v>504</v>
      </c>
      <c r="D121" s="43"/>
      <c r="E121" s="52">
        <f t="shared" si="6"/>
        <v>0.6</v>
      </c>
      <c r="F121" s="235">
        <v>1.0</v>
      </c>
      <c r="G121" s="38"/>
      <c r="H121" s="38"/>
      <c r="I121" s="38">
        <f t="shared" si="2"/>
        <v>1</v>
      </c>
      <c r="J121" s="25">
        <f t="shared" si="3"/>
        <v>0.6666666667</v>
      </c>
      <c r="K121" s="38"/>
      <c r="L121" s="54" t="s">
        <v>211</v>
      </c>
      <c r="M121" s="29" t="str">
        <f t="shared" si="4"/>
        <v>BIEN</v>
      </c>
    </row>
    <row r="122" ht="15.75" customHeight="1">
      <c r="B122" s="140" t="s">
        <v>445</v>
      </c>
      <c r="C122" s="149" t="s">
        <v>505</v>
      </c>
      <c r="D122" s="43"/>
      <c r="E122" s="52">
        <f t="shared" si="6"/>
        <v>0.6</v>
      </c>
      <c r="F122" s="235">
        <v>1.0</v>
      </c>
      <c r="G122" s="38"/>
      <c r="H122" s="38"/>
      <c r="I122" s="38">
        <f t="shared" si="2"/>
        <v>1</v>
      </c>
      <c r="J122" s="25">
        <f t="shared" si="3"/>
        <v>0.6666666667</v>
      </c>
      <c r="K122" s="38"/>
      <c r="L122" s="54" t="s">
        <v>211</v>
      </c>
      <c r="M122" s="29" t="str">
        <f t="shared" si="4"/>
        <v>BIEN</v>
      </c>
    </row>
    <row r="123" ht="15.75" customHeight="1">
      <c r="B123" s="140" t="s">
        <v>445</v>
      </c>
      <c r="C123" s="149" t="s">
        <v>483</v>
      </c>
      <c r="D123" s="43"/>
      <c r="E123" s="52">
        <f t="shared" si="6"/>
        <v>0.6</v>
      </c>
      <c r="F123" s="235">
        <v>1.0</v>
      </c>
      <c r="G123" s="38"/>
      <c r="H123" s="38"/>
      <c r="I123" s="38">
        <f t="shared" si="2"/>
        <v>1</v>
      </c>
      <c r="J123" s="25">
        <f t="shared" si="3"/>
        <v>0.6666666667</v>
      </c>
      <c r="K123" s="38"/>
      <c r="L123" s="54" t="s">
        <v>211</v>
      </c>
      <c r="M123" s="29" t="str">
        <f t="shared" si="4"/>
        <v>BIEN</v>
      </c>
    </row>
    <row r="124" ht="15.75" customHeight="1">
      <c r="B124" s="140" t="s">
        <v>445</v>
      </c>
      <c r="C124" s="149" t="s">
        <v>506</v>
      </c>
      <c r="D124" s="43"/>
      <c r="E124" s="52">
        <f t="shared" si="6"/>
        <v>0.6</v>
      </c>
      <c r="F124" s="235">
        <v>1.0</v>
      </c>
      <c r="G124" s="38"/>
      <c r="H124" s="38"/>
      <c r="I124" s="38">
        <f t="shared" si="2"/>
        <v>1</v>
      </c>
      <c r="J124" s="25">
        <f t="shared" si="3"/>
        <v>0.6666666667</v>
      </c>
      <c r="K124" s="38"/>
      <c r="L124" s="54" t="s">
        <v>211</v>
      </c>
      <c r="M124" s="29" t="str">
        <f t="shared" si="4"/>
        <v>BIEN</v>
      </c>
    </row>
    <row r="125" ht="15.75" customHeight="1">
      <c r="B125" s="140" t="s">
        <v>445</v>
      </c>
      <c r="C125" s="149" t="s">
        <v>507</v>
      </c>
      <c r="D125" s="43"/>
      <c r="E125" s="52">
        <f t="shared" si="6"/>
        <v>0.6</v>
      </c>
      <c r="F125" s="235">
        <v>1.0</v>
      </c>
      <c r="G125" s="38"/>
      <c r="H125" s="38"/>
      <c r="I125" s="38">
        <f t="shared" si="2"/>
        <v>1</v>
      </c>
      <c r="J125" s="25">
        <f t="shared" si="3"/>
        <v>0.6666666667</v>
      </c>
      <c r="K125" s="38"/>
      <c r="L125" s="54" t="s">
        <v>211</v>
      </c>
      <c r="M125" s="29" t="str">
        <f t="shared" si="4"/>
        <v>BIEN</v>
      </c>
    </row>
    <row r="126" ht="15.75" customHeight="1">
      <c r="B126" s="140" t="s">
        <v>508</v>
      </c>
      <c r="C126" s="142" t="s">
        <v>509</v>
      </c>
      <c r="D126" s="43"/>
      <c r="E126" s="52">
        <f t="shared" si="6"/>
        <v>0.6</v>
      </c>
      <c r="F126" s="138">
        <v>1.0</v>
      </c>
      <c r="G126" s="38"/>
      <c r="H126" s="38"/>
      <c r="I126" s="38">
        <f t="shared" si="2"/>
        <v>1</v>
      </c>
      <c r="J126" s="25">
        <f t="shared" si="3"/>
        <v>0.6666666667</v>
      </c>
      <c r="K126" s="38"/>
      <c r="L126" s="54" t="s">
        <v>211</v>
      </c>
      <c r="M126" s="29" t="str">
        <f t="shared" si="4"/>
        <v>BIEN</v>
      </c>
    </row>
    <row r="127" ht="15.75" customHeight="1">
      <c r="B127" s="140" t="s">
        <v>508</v>
      </c>
      <c r="C127" s="149" t="s">
        <v>510</v>
      </c>
      <c r="D127" s="43"/>
      <c r="E127" s="52">
        <f t="shared" si="6"/>
        <v>1.2</v>
      </c>
      <c r="F127" s="138">
        <v>2.0</v>
      </c>
      <c r="G127" s="38"/>
      <c r="H127" s="38"/>
      <c r="I127" s="38">
        <f t="shared" si="2"/>
        <v>2</v>
      </c>
      <c r="J127" s="25">
        <f t="shared" si="3"/>
        <v>0.6666666667</v>
      </c>
      <c r="K127" s="38"/>
      <c r="L127" s="54" t="s">
        <v>211</v>
      </c>
      <c r="M127" s="29" t="str">
        <f t="shared" si="4"/>
        <v>BIEN</v>
      </c>
    </row>
    <row r="128" ht="15.75" customHeight="1">
      <c r="B128" s="140" t="s">
        <v>508</v>
      </c>
      <c r="C128" s="149" t="s">
        <v>511</v>
      </c>
      <c r="D128" s="43"/>
      <c r="E128" s="52">
        <f t="shared" si="6"/>
        <v>1.2</v>
      </c>
      <c r="F128" s="138">
        <v>2.0</v>
      </c>
      <c r="G128" s="38"/>
      <c r="H128" s="38"/>
      <c r="I128" s="38">
        <f t="shared" si="2"/>
        <v>2</v>
      </c>
      <c r="J128" s="25">
        <f t="shared" si="3"/>
        <v>0.6666666667</v>
      </c>
      <c r="K128" s="38"/>
      <c r="L128" s="54" t="s">
        <v>211</v>
      </c>
      <c r="M128" s="29" t="str">
        <f t="shared" si="4"/>
        <v>BIEN</v>
      </c>
    </row>
    <row r="129" ht="15.75" customHeight="1">
      <c r="B129" s="140" t="s">
        <v>508</v>
      </c>
      <c r="C129" s="149" t="s">
        <v>512</v>
      </c>
      <c r="D129" s="43"/>
      <c r="E129" s="52">
        <f t="shared" si="6"/>
        <v>0.6</v>
      </c>
      <c r="F129" s="138">
        <v>1.0</v>
      </c>
      <c r="G129" s="38"/>
      <c r="H129" s="38"/>
      <c r="I129" s="38">
        <f t="shared" si="2"/>
        <v>1</v>
      </c>
      <c r="J129" s="25">
        <f t="shared" si="3"/>
        <v>0.6666666667</v>
      </c>
      <c r="K129" s="38"/>
      <c r="L129" s="54" t="s">
        <v>211</v>
      </c>
      <c r="M129" s="29" t="str">
        <f t="shared" si="4"/>
        <v>BIEN</v>
      </c>
    </row>
    <row r="130" ht="15.75" customHeight="1">
      <c r="B130" s="140" t="s">
        <v>508</v>
      </c>
      <c r="C130" s="149" t="s">
        <v>514</v>
      </c>
      <c r="D130" s="43"/>
      <c r="E130" s="52">
        <f t="shared" si="6"/>
        <v>0.6</v>
      </c>
      <c r="F130" s="138">
        <v>1.0</v>
      </c>
      <c r="G130" s="38"/>
      <c r="H130" s="38"/>
      <c r="I130" s="38">
        <f t="shared" si="2"/>
        <v>1</v>
      </c>
      <c r="J130" s="25">
        <f t="shared" si="3"/>
        <v>0.6666666667</v>
      </c>
      <c r="K130" s="38"/>
      <c r="L130" s="54" t="s">
        <v>211</v>
      </c>
      <c r="M130" s="29" t="str">
        <f t="shared" si="4"/>
        <v>BIEN</v>
      </c>
    </row>
    <row r="131" ht="15.75" customHeight="1">
      <c r="B131" s="140" t="s">
        <v>508</v>
      </c>
      <c r="C131" s="149" t="s">
        <v>521</v>
      </c>
      <c r="D131" s="43" t="s">
        <v>522</v>
      </c>
      <c r="E131" s="52">
        <f t="shared" si="6"/>
        <v>1.8</v>
      </c>
      <c r="F131" s="138">
        <v>3.0</v>
      </c>
      <c r="G131" s="38"/>
      <c r="H131" s="38"/>
      <c r="I131" s="38">
        <f t="shared" si="2"/>
        <v>3</v>
      </c>
      <c r="J131" s="25">
        <f t="shared" si="3"/>
        <v>0.6666666667</v>
      </c>
      <c r="K131" s="38"/>
      <c r="L131" s="54" t="s">
        <v>211</v>
      </c>
      <c r="M131" s="29" t="str">
        <f t="shared" si="4"/>
        <v>BIEN</v>
      </c>
    </row>
    <row r="132" ht="15.75" customHeight="1">
      <c r="B132" s="140" t="s">
        <v>508</v>
      </c>
      <c r="C132" s="149" t="s">
        <v>525</v>
      </c>
      <c r="D132" s="43" t="s">
        <v>527</v>
      </c>
      <c r="E132" s="52">
        <f t="shared" si="6"/>
        <v>1.2</v>
      </c>
      <c r="F132" s="138">
        <v>2.0</v>
      </c>
      <c r="G132" s="38"/>
      <c r="H132" s="38"/>
      <c r="I132" s="38">
        <f t="shared" si="2"/>
        <v>2</v>
      </c>
      <c r="J132" s="25">
        <f t="shared" si="3"/>
        <v>0.6666666667</v>
      </c>
      <c r="K132" s="38"/>
      <c r="L132" s="54" t="s">
        <v>211</v>
      </c>
      <c r="M132" s="29" t="str">
        <f t="shared" si="4"/>
        <v>BIEN</v>
      </c>
    </row>
    <row r="133" ht="15.75" customHeight="1">
      <c r="B133" s="140" t="s">
        <v>493</v>
      </c>
      <c r="C133" s="149" t="s">
        <v>528</v>
      </c>
      <c r="D133" s="43"/>
      <c r="E133" s="52">
        <f t="shared" si="6"/>
        <v>1.8</v>
      </c>
      <c r="F133" s="138">
        <v>3.0</v>
      </c>
      <c r="G133" s="38"/>
      <c r="H133" s="38"/>
      <c r="I133" s="38">
        <f t="shared" si="2"/>
        <v>3</v>
      </c>
      <c r="J133" s="25">
        <f t="shared" si="3"/>
        <v>0.6666666667</v>
      </c>
      <c r="K133" s="38"/>
      <c r="L133" s="54" t="s">
        <v>211</v>
      </c>
      <c r="M133" s="29" t="str">
        <f t="shared" si="4"/>
        <v>BIEN</v>
      </c>
    </row>
    <row r="134" ht="15.75" customHeight="1">
      <c r="B134" s="140" t="s">
        <v>532</v>
      </c>
      <c r="C134" s="43" t="s">
        <v>533</v>
      </c>
      <c r="D134" s="43"/>
      <c r="E134" s="52">
        <f t="shared" si="6"/>
        <v>0.6</v>
      </c>
      <c r="F134" s="235">
        <v>1.0</v>
      </c>
      <c r="G134" s="38"/>
      <c r="H134" s="38"/>
      <c r="I134" s="38">
        <f t="shared" si="2"/>
        <v>1</v>
      </c>
      <c r="J134" s="25">
        <f t="shared" si="3"/>
        <v>0.6666666667</v>
      </c>
      <c r="K134" s="38"/>
      <c r="L134" s="54" t="s">
        <v>211</v>
      </c>
      <c r="M134" s="29" t="str">
        <f t="shared" si="4"/>
        <v>BIEN</v>
      </c>
    </row>
    <row r="135" ht="15.75" customHeight="1">
      <c r="B135" s="140" t="s">
        <v>535</v>
      </c>
      <c r="C135" s="43" t="s">
        <v>536</v>
      </c>
      <c r="D135" s="43"/>
      <c r="E135" s="52">
        <f t="shared" si="6"/>
        <v>0.6</v>
      </c>
      <c r="F135" s="235">
        <v>1.0</v>
      </c>
      <c r="G135" s="38"/>
      <c r="H135" s="38"/>
      <c r="I135" s="38">
        <f t="shared" si="2"/>
        <v>1</v>
      </c>
      <c r="J135" s="25">
        <f t="shared" si="3"/>
        <v>0.6666666667</v>
      </c>
      <c r="K135" s="38"/>
      <c r="L135" s="54" t="s">
        <v>211</v>
      </c>
      <c r="M135" s="29" t="str">
        <f t="shared" si="4"/>
        <v>BIEN</v>
      </c>
    </row>
    <row r="136" ht="15.75" customHeight="1">
      <c r="B136" s="140" t="s">
        <v>535</v>
      </c>
      <c r="C136" s="43" t="s">
        <v>538</v>
      </c>
      <c r="D136" s="43"/>
      <c r="E136" s="52">
        <f t="shared" si="6"/>
        <v>0.6</v>
      </c>
      <c r="F136" s="235">
        <v>1.0</v>
      </c>
      <c r="G136" s="38"/>
      <c r="H136" s="38"/>
      <c r="I136" s="38">
        <f t="shared" si="2"/>
        <v>1</v>
      </c>
      <c r="J136" s="25">
        <f t="shared" si="3"/>
        <v>0.6666666667</v>
      </c>
      <c r="K136" s="38"/>
      <c r="L136" s="54" t="s">
        <v>211</v>
      </c>
      <c r="M136" s="29" t="str">
        <f t="shared" si="4"/>
        <v>BIEN</v>
      </c>
    </row>
    <row r="137" ht="15.75" customHeight="1">
      <c r="B137" s="140" t="s">
        <v>535</v>
      </c>
      <c r="C137" s="53" t="s">
        <v>542</v>
      </c>
      <c r="D137" s="43" t="s">
        <v>543</v>
      </c>
      <c r="E137" s="182">
        <v>1.0</v>
      </c>
      <c r="F137" s="56">
        <v>1.0</v>
      </c>
      <c r="G137" s="38"/>
      <c r="H137" s="38"/>
      <c r="I137" s="38"/>
      <c r="J137" s="25">
        <f t="shared" si="3"/>
        <v>0</v>
      </c>
      <c r="K137" s="38"/>
      <c r="L137" s="54"/>
      <c r="M137" s="29" t="str">
        <f t="shared" si="4"/>
        <v>CRITICO</v>
      </c>
    </row>
    <row r="138" ht="15.75" customHeight="1">
      <c r="B138" s="115" t="s">
        <v>545</v>
      </c>
      <c r="C138" s="55" t="s">
        <v>546</v>
      </c>
      <c r="D138" s="159" t="s">
        <v>496</v>
      </c>
      <c r="E138" s="182">
        <v>1.0</v>
      </c>
      <c r="F138" s="56">
        <v>1.0</v>
      </c>
      <c r="G138" s="38"/>
      <c r="H138" s="38"/>
      <c r="I138" s="38"/>
      <c r="J138" s="25">
        <f t="shared" si="3"/>
        <v>0</v>
      </c>
      <c r="K138" s="38"/>
      <c r="L138" s="54"/>
      <c r="M138" s="29" t="str">
        <f t="shared" si="4"/>
        <v>CRITICO</v>
      </c>
    </row>
    <row r="139" ht="15.75" customHeight="1">
      <c r="B139" s="115" t="s">
        <v>545</v>
      </c>
      <c r="C139" s="55" t="s">
        <v>548</v>
      </c>
      <c r="D139" s="159" t="s">
        <v>496</v>
      </c>
      <c r="E139" s="182">
        <v>1.0</v>
      </c>
      <c r="F139" s="56">
        <v>1.0</v>
      </c>
      <c r="G139" s="38"/>
      <c r="H139" s="38"/>
      <c r="I139" s="38"/>
      <c r="J139" s="25">
        <f t="shared" si="3"/>
        <v>0</v>
      </c>
      <c r="K139" s="38"/>
      <c r="L139" s="54"/>
      <c r="M139" s="29" t="str">
        <f t="shared" si="4"/>
        <v>CRITICO</v>
      </c>
    </row>
    <row r="140" ht="15.75" customHeight="1">
      <c r="B140" s="115" t="s">
        <v>545</v>
      </c>
      <c r="C140" s="55" t="s">
        <v>551</v>
      </c>
      <c r="D140" s="159" t="s">
        <v>496</v>
      </c>
      <c r="E140" s="182">
        <v>1.0</v>
      </c>
      <c r="F140" s="56">
        <v>1.0</v>
      </c>
      <c r="G140" s="38"/>
      <c r="H140" s="38"/>
      <c r="I140" s="38"/>
      <c r="J140" s="25">
        <f t="shared" si="3"/>
        <v>0</v>
      </c>
      <c r="K140" s="38"/>
      <c r="L140" s="54"/>
      <c r="M140" s="29" t="str">
        <f t="shared" si="4"/>
        <v>CRITICO</v>
      </c>
    </row>
    <row r="141" ht="15.75" customHeight="1">
      <c r="B141" s="115" t="s">
        <v>545</v>
      </c>
      <c r="C141" s="55" t="s">
        <v>553</v>
      </c>
      <c r="D141" s="159" t="s">
        <v>496</v>
      </c>
      <c r="E141" s="182">
        <v>1.0</v>
      </c>
      <c r="F141" s="56">
        <v>1.0</v>
      </c>
      <c r="G141" s="38"/>
      <c r="H141" s="38"/>
      <c r="I141" s="38"/>
      <c r="J141" s="25">
        <f t="shared" si="3"/>
        <v>0</v>
      </c>
      <c r="K141" s="38"/>
      <c r="L141" s="54"/>
      <c r="M141" s="29" t="str">
        <f t="shared" si="4"/>
        <v>CRITICO</v>
      </c>
    </row>
    <row r="142" ht="15.75" customHeight="1">
      <c r="B142" s="140"/>
      <c r="C142" s="53"/>
      <c r="D142" s="43"/>
      <c r="E142" s="52"/>
      <c r="F142" s="38"/>
      <c r="G142" s="38"/>
      <c r="H142" s="38"/>
      <c r="I142" s="38"/>
      <c r="J142" s="25">
        <f t="shared" si="3"/>
        <v>0</v>
      </c>
      <c r="K142" s="38"/>
      <c r="L142" s="54"/>
      <c r="M142" s="29" t="str">
        <f t="shared" si="4"/>
        <v>CRITICO</v>
      </c>
    </row>
    <row r="143" ht="15.75" customHeight="1">
      <c r="B143" s="140"/>
      <c r="C143" s="53"/>
      <c r="D143" s="43"/>
      <c r="E143" s="52"/>
      <c r="F143" s="38"/>
      <c r="G143" s="38"/>
      <c r="H143" s="38"/>
      <c r="I143" s="38"/>
      <c r="J143" s="25">
        <f t="shared" si="3"/>
        <v>0</v>
      </c>
      <c r="K143" s="38"/>
      <c r="L143" s="54"/>
      <c r="M143" s="29" t="str">
        <f t="shared" si="4"/>
        <v>CRITICO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M2"/>
  </mergeCells>
  <conditionalFormatting sqref="M4">
    <cfRule type="expression" dxfId="0" priority="1" stopIfTrue="1">
      <formula>J4=0</formula>
    </cfRule>
  </conditionalFormatting>
  <conditionalFormatting sqref="M4">
    <cfRule type="expression" dxfId="1" priority="2" stopIfTrue="1">
      <formula>AND(J4&gt;0,J4&lt;0.5)</formula>
    </cfRule>
  </conditionalFormatting>
  <conditionalFormatting sqref="M4">
    <cfRule type="expression" dxfId="2" priority="3" stopIfTrue="1">
      <formula>+J4&gt;=0.5</formula>
    </cfRule>
  </conditionalFormatting>
  <conditionalFormatting sqref="M5">
    <cfRule type="expression" dxfId="0" priority="4" stopIfTrue="1">
      <formula>J5=0</formula>
    </cfRule>
  </conditionalFormatting>
  <conditionalFormatting sqref="M5">
    <cfRule type="expression" dxfId="1" priority="5" stopIfTrue="1">
      <formula>AND(J5&gt;0,J5&lt;0.5)</formula>
    </cfRule>
  </conditionalFormatting>
  <conditionalFormatting sqref="M5">
    <cfRule type="expression" dxfId="2" priority="6" stopIfTrue="1">
      <formula>+J5&gt;=0.5</formula>
    </cfRule>
  </conditionalFormatting>
  <conditionalFormatting sqref="M6">
    <cfRule type="expression" dxfId="0" priority="7" stopIfTrue="1">
      <formula>J6=0</formula>
    </cfRule>
  </conditionalFormatting>
  <conditionalFormatting sqref="M6">
    <cfRule type="expression" dxfId="1" priority="8" stopIfTrue="1">
      <formula>AND(J6&gt;0,J6&lt;0.5)</formula>
    </cfRule>
  </conditionalFormatting>
  <conditionalFormatting sqref="M6">
    <cfRule type="expression" dxfId="2" priority="9" stopIfTrue="1">
      <formula>+J6&gt;=0.5</formula>
    </cfRule>
  </conditionalFormatting>
  <conditionalFormatting sqref="M7">
    <cfRule type="expression" dxfId="0" priority="10" stopIfTrue="1">
      <formula>J7=0</formula>
    </cfRule>
  </conditionalFormatting>
  <conditionalFormatting sqref="M7">
    <cfRule type="expression" dxfId="1" priority="11" stopIfTrue="1">
      <formula>AND(J7&gt;0,J7&lt;0.5)</formula>
    </cfRule>
  </conditionalFormatting>
  <conditionalFormatting sqref="M7">
    <cfRule type="expression" dxfId="2" priority="12" stopIfTrue="1">
      <formula>+J7&gt;=0.5</formula>
    </cfRule>
  </conditionalFormatting>
  <conditionalFormatting sqref="M8">
    <cfRule type="expression" dxfId="0" priority="13" stopIfTrue="1">
      <formula>J8=0</formula>
    </cfRule>
  </conditionalFormatting>
  <conditionalFormatting sqref="M8">
    <cfRule type="expression" dxfId="1" priority="14" stopIfTrue="1">
      <formula>AND(J8&gt;0,J8&lt;0.5)</formula>
    </cfRule>
  </conditionalFormatting>
  <conditionalFormatting sqref="M8">
    <cfRule type="expression" dxfId="2" priority="15" stopIfTrue="1">
      <formula>+J8&gt;=0.5</formula>
    </cfRule>
  </conditionalFormatting>
  <conditionalFormatting sqref="M9">
    <cfRule type="expression" dxfId="0" priority="16" stopIfTrue="1">
      <formula>J9=0</formula>
    </cfRule>
  </conditionalFormatting>
  <conditionalFormatting sqref="M9">
    <cfRule type="expression" dxfId="1" priority="17" stopIfTrue="1">
      <formula>AND(J9&gt;0,J9&lt;0.5)</formula>
    </cfRule>
  </conditionalFormatting>
  <conditionalFormatting sqref="M9">
    <cfRule type="expression" dxfId="2" priority="18" stopIfTrue="1">
      <formula>+J9&gt;=0.5</formula>
    </cfRule>
  </conditionalFormatting>
  <conditionalFormatting sqref="M10:M12">
    <cfRule type="expression" dxfId="0" priority="19" stopIfTrue="1">
      <formula>J10=0</formula>
    </cfRule>
  </conditionalFormatting>
  <conditionalFormatting sqref="M10:M12">
    <cfRule type="expression" dxfId="1" priority="20" stopIfTrue="1">
      <formula>AND(J10&gt;0,J10&lt;0.5)</formula>
    </cfRule>
  </conditionalFormatting>
  <conditionalFormatting sqref="M10:M12">
    <cfRule type="expression" dxfId="2" priority="21" stopIfTrue="1">
      <formula>+J10&gt;=0.5</formula>
    </cfRule>
  </conditionalFormatting>
  <conditionalFormatting sqref="M13">
    <cfRule type="expression" dxfId="0" priority="22" stopIfTrue="1">
      <formula>J13=0</formula>
    </cfRule>
  </conditionalFormatting>
  <conditionalFormatting sqref="M13">
    <cfRule type="expression" dxfId="1" priority="23" stopIfTrue="1">
      <formula>AND(J13&gt;0,J13&lt;0.5)</formula>
    </cfRule>
  </conditionalFormatting>
  <conditionalFormatting sqref="M13">
    <cfRule type="expression" dxfId="2" priority="24" stopIfTrue="1">
      <formula>+J13&gt;=0.5</formula>
    </cfRule>
  </conditionalFormatting>
  <conditionalFormatting sqref="M14">
    <cfRule type="expression" dxfId="0" priority="25" stopIfTrue="1">
      <formula>J14=0</formula>
    </cfRule>
  </conditionalFormatting>
  <conditionalFormatting sqref="M14">
    <cfRule type="expression" dxfId="1" priority="26" stopIfTrue="1">
      <formula>AND(J14&gt;0,J14&lt;0.5)</formula>
    </cfRule>
  </conditionalFormatting>
  <conditionalFormatting sqref="M14">
    <cfRule type="expression" dxfId="2" priority="27" stopIfTrue="1">
      <formula>+J14&gt;=0.5</formula>
    </cfRule>
  </conditionalFormatting>
  <conditionalFormatting sqref="M15">
    <cfRule type="expression" dxfId="0" priority="28" stopIfTrue="1">
      <formula>J15=0</formula>
    </cfRule>
  </conditionalFormatting>
  <conditionalFormatting sqref="M15">
    <cfRule type="expression" dxfId="1" priority="29" stopIfTrue="1">
      <formula>AND(J15&gt;0,J15&lt;0.5)</formula>
    </cfRule>
  </conditionalFormatting>
  <conditionalFormatting sqref="M15">
    <cfRule type="expression" dxfId="2" priority="30" stopIfTrue="1">
      <formula>+J15&gt;=0.5</formula>
    </cfRule>
  </conditionalFormatting>
  <conditionalFormatting sqref="M16">
    <cfRule type="expression" dxfId="0" priority="31" stopIfTrue="1">
      <formula>J16=0</formula>
    </cfRule>
  </conditionalFormatting>
  <conditionalFormatting sqref="M16">
    <cfRule type="expression" dxfId="1" priority="32" stopIfTrue="1">
      <formula>AND(J16&gt;0,J16&lt;0.5)</formula>
    </cfRule>
  </conditionalFormatting>
  <conditionalFormatting sqref="M16">
    <cfRule type="expression" dxfId="2" priority="33" stopIfTrue="1">
      <formula>+J16&gt;=0.5</formula>
    </cfRule>
  </conditionalFormatting>
  <conditionalFormatting sqref="M17:M60">
    <cfRule type="expression" dxfId="0" priority="34" stopIfTrue="1">
      <formula>J17=0</formula>
    </cfRule>
  </conditionalFormatting>
  <conditionalFormatting sqref="M17:M60">
    <cfRule type="expression" dxfId="1" priority="35" stopIfTrue="1">
      <formula>AND(J17&gt;0,J17&lt;0.5)</formula>
    </cfRule>
  </conditionalFormatting>
  <conditionalFormatting sqref="M17:M60">
    <cfRule type="expression" dxfId="2" priority="36" stopIfTrue="1">
      <formula>+J17&gt;=0.5</formula>
    </cfRule>
  </conditionalFormatting>
  <conditionalFormatting sqref="M61:M68">
    <cfRule type="expression" dxfId="0" priority="37" stopIfTrue="1">
      <formula>J61=0</formula>
    </cfRule>
  </conditionalFormatting>
  <conditionalFormatting sqref="M61:M68">
    <cfRule type="expression" dxfId="1" priority="38" stopIfTrue="1">
      <formula>AND(J61&gt;0,J61&lt;0.5)</formula>
    </cfRule>
  </conditionalFormatting>
  <conditionalFormatting sqref="M61:M68">
    <cfRule type="expression" dxfId="2" priority="39" stopIfTrue="1">
      <formula>+J61&gt;=0.5</formula>
    </cfRule>
  </conditionalFormatting>
  <conditionalFormatting sqref="M69:M83">
    <cfRule type="expression" dxfId="0" priority="40" stopIfTrue="1">
      <formula>J69=0</formula>
    </cfRule>
  </conditionalFormatting>
  <conditionalFormatting sqref="M69:M83">
    <cfRule type="expression" dxfId="1" priority="41" stopIfTrue="1">
      <formula>AND(J69&gt;0,J69&lt;0.5)</formula>
    </cfRule>
  </conditionalFormatting>
  <conditionalFormatting sqref="M69:M83">
    <cfRule type="expression" dxfId="2" priority="42" stopIfTrue="1">
      <formula>+J69&gt;=0.5</formula>
    </cfRule>
  </conditionalFormatting>
  <conditionalFormatting sqref="M84:M102">
    <cfRule type="expression" dxfId="0" priority="43" stopIfTrue="1">
      <formula>J84=0</formula>
    </cfRule>
  </conditionalFormatting>
  <conditionalFormatting sqref="M84:M102">
    <cfRule type="expression" dxfId="1" priority="44" stopIfTrue="1">
      <formula>AND(J84&gt;0,J84&lt;0.5)</formula>
    </cfRule>
  </conditionalFormatting>
  <conditionalFormatting sqref="M84:M102">
    <cfRule type="expression" dxfId="2" priority="45" stopIfTrue="1">
      <formula>+J84&gt;=0.5</formula>
    </cfRule>
  </conditionalFormatting>
  <conditionalFormatting sqref="M103:M143">
    <cfRule type="expression" dxfId="0" priority="46" stopIfTrue="1">
      <formula>J103=0</formula>
    </cfRule>
  </conditionalFormatting>
  <conditionalFormatting sqref="M103:M143">
    <cfRule type="expression" dxfId="1" priority="47" stopIfTrue="1">
      <formula>AND(J103&gt;0,J103&lt;0.5)</formula>
    </cfRule>
  </conditionalFormatting>
  <conditionalFormatting sqref="M103:M143">
    <cfRule type="expression" dxfId="2" priority="48" stopIfTrue="1">
      <formula>+J103&gt;=0.5</formula>
    </cfRule>
  </conditionalFormatting>
  <conditionalFormatting sqref="M137:M143">
    <cfRule type="expression" dxfId="0" priority="49" stopIfTrue="1">
      <formula>J137=0</formula>
    </cfRule>
  </conditionalFormatting>
  <conditionalFormatting sqref="M137:M143">
    <cfRule type="expression" dxfId="1" priority="50" stopIfTrue="1">
      <formula>AND(J137&gt;0,J137&lt;0.5)</formula>
    </cfRule>
  </conditionalFormatting>
  <conditionalFormatting sqref="M137:M143">
    <cfRule type="expression" dxfId="2" priority="51" stopIfTrue="1">
      <formula>+J137&gt;=0.5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3.57"/>
    <col customWidth="1" min="3" max="3" width="57.57"/>
    <col customWidth="1" min="4" max="9" width="10.71"/>
    <col customWidth="1" min="10" max="10" width="13.14"/>
    <col customWidth="1" min="11" max="11" width="36.14"/>
    <col customWidth="1" min="12" max="26" width="10.71"/>
  </cols>
  <sheetData>
    <row r="1">
      <c r="B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>
      <c r="B2" s="5" t="s">
        <v>4</v>
      </c>
      <c r="C2" s="5" t="s">
        <v>5</v>
      </c>
      <c r="D2" s="5" t="s">
        <v>6</v>
      </c>
      <c r="E2" s="6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93" t="s">
        <v>170</v>
      </c>
      <c r="L2" s="7" t="s">
        <v>14</v>
      </c>
      <c r="M2" s="9" t="s">
        <v>16</v>
      </c>
    </row>
    <row r="3">
      <c r="B3" s="222" t="s">
        <v>346</v>
      </c>
      <c r="C3" s="152" t="s">
        <v>347</v>
      </c>
      <c r="D3" s="56" t="s">
        <v>348</v>
      </c>
      <c r="E3" s="182">
        <v>2.0</v>
      </c>
      <c r="F3" s="117">
        <v>6.0</v>
      </c>
      <c r="G3" s="38"/>
      <c r="H3" s="43"/>
      <c r="I3" s="38">
        <f t="shared" ref="I3:I209" si="1">+F3+G3-H3</f>
        <v>6</v>
      </c>
      <c r="J3" s="25">
        <f t="shared" ref="J3:J209" si="2">+IF(E3=0,0,MIN(MAX((I3-E3)/E3,0),1))</f>
        <v>1</v>
      </c>
      <c r="K3" s="106"/>
      <c r="L3" s="54" t="s">
        <v>211</v>
      </c>
      <c r="M3" s="29" t="str">
        <f t="shared" ref="M3:M209" si="3">+IF(J3=0,"CRITICO",IF(J3&lt;0.5,"ALERTA","BIEN"))</f>
        <v>BIEN</v>
      </c>
    </row>
    <row r="4">
      <c r="B4" s="222" t="s">
        <v>346</v>
      </c>
      <c r="C4" s="152" t="s">
        <v>355</v>
      </c>
      <c r="D4" s="38"/>
      <c r="E4" s="182">
        <v>1.0</v>
      </c>
      <c r="F4" s="117">
        <v>2.0</v>
      </c>
      <c r="G4" s="38"/>
      <c r="H4" s="159">
        <v>2.0</v>
      </c>
      <c r="I4" s="38">
        <f t="shared" si="1"/>
        <v>0</v>
      </c>
      <c r="J4" s="25">
        <f t="shared" si="2"/>
        <v>0</v>
      </c>
      <c r="K4" s="106"/>
      <c r="L4" s="54" t="s">
        <v>211</v>
      </c>
      <c r="M4" s="29" t="str">
        <f t="shared" si="3"/>
        <v>CRITICO</v>
      </c>
    </row>
    <row r="5">
      <c r="B5" s="222" t="s">
        <v>346</v>
      </c>
      <c r="C5" s="96" t="s">
        <v>357</v>
      </c>
      <c r="D5" s="38"/>
      <c r="E5" s="182">
        <v>1.0</v>
      </c>
      <c r="F5" s="117">
        <v>1.0</v>
      </c>
      <c r="G5" s="38"/>
      <c r="H5" s="43"/>
      <c r="I5" s="38">
        <f t="shared" si="1"/>
        <v>1</v>
      </c>
      <c r="J5" s="25">
        <f t="shared" si="2"/>
        <v>0</v>
      </c>
      <c r="K5" s="106"/>
      <c r="L5" s="54" t="s">
        <v>211</v>
      </c>
      <c r="M5" s="29" t="str">
        <f t="shared" si="3"/>
        <v>CRITICO</v>
      </c>
    </row>
    <row r="6">
      <c r="B6" s="222" t="s">
        <v>346</v>
      </c>
      <c r="C6" s="96" t="s">
        <v>360</v>
      </c>
      <c r="D6" s="38"/>
      <c r="E6" s="182">
        <v>1.0</v>
      </c>
      <c r="F6" s="117">
        <v>5.0</v>
      </c>
      <c r="G6" s="38"/>
      <c r="H6" s="43"/>
      <c r="I6" s="38">
        <f t="shared" si="1"/>
        <v>5</v>
      </c>
      <c r="J6" s="25">
        <f t="shared" si="2"/>
        <v>1</v>
      </c>
      <c r="K6" s="106"/>
      <c r="L6" s="54" t="s">
        <v>211</v>
      </c>
      <c r="M6" s="29" t="str">
        <f t="shared" si="3"/>
        <v>BIEN</v>
      </c>
    </row>
    <row r="7">
      <c r="B7" s="222" t="s">
        <v>346</v>
      </c>
      <c r="C7" s="96" t="s">
        <v>363</v>
      </c>
      <c r="D7" s="38"/>
      <c r="E7" s="182">
        <v>1.0</v>
      </c>
      <c r="F7" s="117">
        <v>2.0</v>
      </c>
      <c r="G7" s="38"/>
      <c r="H7" s="43"/>
      <c r="I7" s="38">
        <f t="shared" si="1"/>
        <v>2</v>
      </c>
      <c r="J7" s="25">
        <f t="shared" si="2"/>
        <v>1</v>
      </c>
      <c r="K7" s="106"/>
      <c r="L7" s="54" t="s">
        <v>211</v>
      </c>
      <c r="M7" s="29" t="str">
        <f t="shared" si="3"/>
        <v>BIEN</v>
      </c>
    </row>
    <row r="8">
      <c r="B8" s="222" t="s">
        <v>346</v>
      </c>
      <c r="C8" s="96" t="s">
        <v>367</v>
      </c>
      <c r="D8" s="56" t="s">
        <v>368</v>
      </c>
      <c r="E8" s="182">
        <v>1.0</v>
      </c>
      <c r="F8" s="117">
        <v>2.0</v>
      </c>
      <c r="G8" s="56"/>
      <c r="H8" s="159">
        <v>2.0</v>
      </c>
      <c r="I8" s="38">
        <f t="shared" si="1"/>
        <v>0</v>
      </c>
      <c r="J8" s="25">
        <f t="shared" si="2"/>
        <v>0</v>
      </c>
      <c r="K8" s="160">
        <v>130000.0</v>
      </c>
      <c r="L8" s="54" t="s">
        <v>211</v>
      </c>
      <c r="M8" s="29" t="str">
        <f t="shared" si="3"/>
        <v>CRITICO</v>
      </c>
    </row>
    <row r="9">
      <c r="B9" s="222" t="s">
        <v>346</v>
      </c>
      <c r="C9" s="96" t="s">
        <v>372</v>
      </c>
      <c r="D9" s="56" t="s">
        <v>266</v>
      </c>
      <c r="E9" s="182">
        <v>2.0</v>
      </c>
      <c r="F9" s="117">
        <v>5.0</v>
      </c>
      <c r="G9" s="38"/>
      <c r="H9" s="159">
        <v>1.0</v>
      </c>
      <c r="I9" s="38">
        <f t="shared" si="1"/>
        <v>4</v>
      </c>
      <c r="J9" s="25">
        <f t="shared" si="2"/>
        <v>1</v>
      </c>
      <c r="K9" s="106">
        <v>85000.0</v>
      </c>
      <c r="L9" s="54" t="s">
        <v>211</v>
      </c>
      <c r="M9" s="29" t="str">
        <f t="shared" si="3"/>
        <v>BIEN</v>
      </c>
    </row>
    <row r="10">
      <c r="B10" s="222" t="s">
        <v>346</v>
      </c>
      <c r="C10" s="96" t="s">
        <v>376</v>
      </c>
      <c r="D10" s="38"/>
      <c r="E10" s="182">
        <v>1.0</v>
      </c>
      <c r="F10" s="117">
        <v>1.0</v>
      </c>
      <c r="G10" s="38"/>
      <c r="H10" s="43"/>
      <c r="I10" s="38">
        <f t="shared" si="1"/>
        <v>1</v>
      </c>
      <c r="J10" s="25">
        <f t="shared" si="2"/>
        <v>0</v>
      </c>
      <c r="K10" s="106"/>
      <c r="L10" s="54" t="s">
        <v>211</v>
      </c>
      <c r="M10" s="29" t="str">
        <f t="shared" si="3"/>
        <v>CRITICO</v>
      </c>
    </row>
    <row r="11">
      <c r="B11" s="222" t="s">
        <v>346</v>
      </c>
      <c r="C11" s="96" t="s">
        <v>379</v>
      </c>
      <c r="D11" s="56" t="s">
        <v>380</v>
      </c>
      <c r="E11" s="182">
        <v>0.0</v>
      </c>
      <c r="F11" s="117">
        <v>0.0</v>
      </c>
      <c r="G11" s="56">
        <v>1.0</v>
      </c>
      <c r="H11" s="159">
        <v>1.0</v>
      </c>
      <c r="I11" s="38">
        <f t="shared" si="1"/>
        <v>0</v>
      </c>
      <c r="J11" s="25">
        <f t="shared" si="2"/>
        <v>0</v>
      </c>
      <c r="K11" s="106">
        <v>71300.0</v>
      </c>
      <c r="L11" s="54" t="s">
        <v>211</v>
      </c>
      <c r="M11" s="29" t="str">
        <f t="shared" si="3"/>
        <v>CRITICO</v>
      </c>
    </row>
    <row r="12">
      <c r="B12" s="222" t="s">
        <v>346</v>
      </c>
      <c r="C12" s="96" t="s">
        <v>384</v>
      </c>
      <c r="D12" s="56" t="s">
        <v>266</v>
      </c>
      <c r="E12" s="182">
        <v>0.0</v>
      </c>
      <c r="F12" s="117">
        <v>0.0</v>
      </c>
      <c r="G12" s="38"/>
      <c r="H12" s="43"/>
      <c r="I12" s="38">
        <f t="shared" si="1"/>
        <v>0</v>
      </c>
      <c r="J12" s="25">
        <f t="shared" si="2"/>
        <v>0</v>
      </c>
      <c r="K12" s="106">
        <v>285000.0</v>
      </c>
      <c r="L12" s="54" t="s">
        <v>211</v>
      </c>
      <c r="M12" s="29" t="str">
        <f t="shared" si="3"/>
        <v>CRITICO</v>
      </c>
    </row>
    <row r="13">
      <c r="B13" s="222" t="s">
        <v>346</v>
      </c>
      <c r="C13" s="96" t="s">
        <v>388</v>
      </c>
      <c r="D13" s="38"/>
      <c r="E13" s="182">
        <v>0.0</v>
      </c>
      <c r="F13" s="117">
        <v>0.0</v>
      </c>
      <c r="G13" s="38"/>
      <c r="H13" s="43"/>
      <c r="I13" s="38">
        <f t="shared" si="1"/>
        <v>0</v>
      </c>
      <c r="J13" s="25">
        <f t="shared" si="2"/>
        <v>0</v>
      </c>
      <c r="K13" s="106">
        <v>19000.0</v>
      </c>
      <c r="L13" s="54" t="s">
        <v>211</v>
      </c>
      <c r="M13" s="29" t="str">
        <f t="shared" si="3"/>
        <v>CRITICO</v>
      </c>
    </row>
    <row r="14">
      <c r="B14" s="222" t="s">
        <v>346</v>
      </c>
      <c r="C14" s="96" t="s">
        <v>391</v>
      </c>
      <c r="D14" s="38"/>
      <c r="E14" s="182">
        <v>1.0</v>
      </c>
      <c r="F14" s="117">
        <v>1.0</v>
      </c>
      <c r="G14" s="38"/>
      <c r="H14" s="43"/>
      <c r="I14" s="38">
        <f t="shared" si="1"/>
        <v>1</v>
      </c>
      <c r="J14" s="25">
        <f t="shared" si="2"/>
        <v>0</v>
      </c>
      <c r="K14" s="106"/>
      <c r="L14" s="54" t="s">
        <v>211</v>
      </c>
      <c r="M14" s="29" t="str">
        <f t="shared" si="3"/>
        <v>CRITICO</v>
      </c>
    </row>
    <row r="15">
      <c r="B15" s="222" t="s">
        <v>346</v>
      </c>
      <c r="C15" s="96" t="s">
        <v>394</v>
      </c>
      <c r="D15" s="56" t="s">
        <v>395</v>
      </c>
      <c r="E15" s="182">
        <v>1.0</v>
      </c>
      <c r="F15" s="117">
        <v>1.0</v>
      </c>
      <c r="G15" s="38"/>
      <c r="H15" s="43"/>
      <c r="I15" s="38">
        <f t="shared" si="1"/>
        <v>1</v>
      </c>
      <c r="J15" s="25">
        <f t="shared" si="2"/>
        <v>0</v>
      </c>
      <c r="K15" s="106"/>
      <c r="L15" s="54" t="s">
        <v>211</v>
      </c>
      <c r="M15" s="29" t="str">
        <f t="shared" si="3"/>
        <v>CRITICO</v>
      </c>
    </row>
    <row r="16">
      <c r="B16" s="222" t="s">
        <v>346</v>
      </c>
      <c r="C16" s="96" t="s">
        <v>396</v>
      </c>
      <c r="D16" s="56" t="s">
        <v>397</v>
      </c>
      <c r="E16" s="182">
        <v>1.0</v>
      </c>
      <c r="F16" s="117">
        <v>1.0</v>
      </c>
      <c r="G16" s="38"/>
      <c r="H16" s="43"/>
      <c r="I16" s="38">
        <f t="shared" si="1"/>
        <v>1</v>
      </c>
      <c r="J16" s="25">
        <f t="shared" si="2"/>
        <v>0</v>
      </c>
      <c r="K16" s="106"/>
      <c r="L16" s="54" t="s">
        <v>211</v>
      </c>
      <c r="M16" s="29" t="str">
        <f t="shared" si="3"/>
        <v>CRITICO</v>
      </c>
    </row>
    <row r="17">
      <c r="B17" s="222" t="s">
        <v>346</v>
      </c>
      <c r="C17" s="96" t="s">
        <v>400</v>
      </c>
      <c r="D17" s="38"/>
      <c r="E17" s="182">
        <v>1.0</v>
      </c>
      <c r="F17" s="117">
        <v>4.0</v>
      </c>
      <c r="G17" s="38"/>
      <c r="H17" s="43"/>
      <c r="I17" s="38">
        <f t="shared" si="1"/>
        <v>4</v>
      </c>
      <c r="J17" s="25">
        <f t="shared" si="2"/>
        <v>1</v>
      </c>
      <c r="K17" s="106"/>
      <c r="L17" s="54" t="s">
        <v>211</v>
      </c>
      <c r="M17" s="29" t="str">
        <f t="shared" si="3"/>
        <v>BIEN</v>
      </c>
    </row>
    <row r="18">
      <c r="B18" s="222" t="s">
        <v>346</v>
      </c>
      <c r="C18" s="96" t="s">
        <v>402</v>
      </c>
      <c r="D18" s="56" t="s">
        <v>403</v>
      </c>
      <c r="E18" s="182">
        <v>1.0</v>
      </c>
      <c r="F18" s="117">
        <v>1.0</v>
      </c>
      <c r="G18" s="38"/>
      <c r="H18" s="43"/>
      <c r="I18" s="38">
        <f t="shared" si="1"/>
        <v>1</v>
      </c>
      <c r="J18" s="25">
        <f t="shared" si="2"/>
        <v>0</v>
      </c>
      <c r="K18" s="106"/>
      <c r="L18" s="54" t="s">
        <v>211</v>
      </c>
      <c r="M18" s="29" t="str">
        <f t="shared" si="3"/>
        <v>CRITICO</v>
      </c>
    </row>
    <row r="19">
      <c r="B19" s="222" t="s">
        <v>346</v>
      </c>
      <c r="C19" s="96" t="s">
        <v>407</v>
      </c>
      <c r="D19" s="38"/>
      <c r="E19" s="182">
        <v>1.0</v>
      </c>
      <c r="F19" s="117">
        <v>1.0</v>
      </c>
      <c r="G19" s="38"/>
      <c r="H19" s="43"/>
      <c r="I19" s="38">
        <f t="shared" si="1"/>
        <v>1</v>
      </c>
      <c r="J19" s="25">
        <f t="shared" si="2"/>
        <v>0</v>
      </c>
      <c r="K19" s="106"/>
      <c r="L19" s="54" t="s">
        <v>211</v>
      </c>
      <c r="M19" s="29" t="str">
        <f t="shared" si="3"/>
        <v>CRITICO</v>
      </c>
    </row>
    <row r="20">
      <c r="B20" s="222" t="s">
        <v>346</v>
      </c>
      <c r="C20" s="96" t="s">
        <v>410</v>
      </c>
      <c r="D20" s="38"/>
      <c r="E20" s="182">
        <v>1.0</v>
      </c>
      <c r="F20" s="117">
        <v>1.0</v>
      </c>
      <c r="G20" s="38"/>
      <c r="H20" s="43"/>
      <c r="I20" s="38">
        <f t="shared" si="1"/>
        <v>1</v>
      </c>
      <c r="J20" s="25">
        <f t="shared" si="2"/>
        <v>0</v>
      </c>
      <c r="K20" s="106"/>
      <c r="L20" s="54" t="s">
        <v>211</v>
      </c>
      <c r="M20" s="29" t="str">
        <f t="shared" si="3"/>
        <v>CRITICO</v>
      </c>
    </row>
    <row r="21" ht="15.75" customHeight="1">
      <c r="B21" s="222" t="s">
        <v>346</v>
      </c>
      <c r="C21" s="96" t="s">
        <v>384</v>
      </c>
      <c r="D21" s="56" t="s">
        <v>412</v>
      </c>
      <c r="E21" s="182">
        <v>1.0</v>
      </c>
      <c r="F21" s="117">
        <v>2.0</v>
      </c>
      <c r="G21" s="38"/>
      <c r="H21" s="43"/>
      <c r="I21" s="38">
        <f t="shared" si="1"/>
        <v>2</v>
      </c>
      <c r="J21" s="25">
        <f t="shared" si="2"/>
        <v>1</v>
      </c>
      <c r="K21" s="106"/>
      <c r="L21" s="54" t="s">
        <v>211</v>
      </c>
      <c r="M21" s="29" t="str">
        <f t="shared" si="3"/>
        <v>BIEN</v>
      </c>
    </row>
    <row r="22" ht="15.75" customHeight="1">
      <c r="B22" s="222" t="s">
        <v>346</v>
      </c>
      <c r="C22" s="96" t="s">
        <v>415</v>
      </c>
      <c r="D22" s="38"/>
      <c r="E22" s="182">
        <v>1.0</v>
      </c>
      <c r="F22" s="117">
        <v>1.0</v>
      </c>
      <c r="G22" s="38"/>
      <c r="H22" s="43"/>
      <c r="I22" s="38">
        <f t="shared" si="1"/>
        <v>1</v>
      </c>
      <c r="J22" s="25">
        <f t="shared" si="2"/>
        <v>0</v>
      </c>
      <c r="K22" s="106">
        <v>169000.0</v>
      </c>
      <c r="L22" s="54" t="s">
        <v>211</v>
      </c>
      <c r="M22" s="29" t="str">
        <f t="shared" si="3"/>
        <v>CRITICO</v>
      </c>
    </row>
    <row r="23" ht="15.75" customHeight="1">
      <c r="B23" s="222" t="s">
        <v>346</v>
      </c>
      <c r="C23" s="96" t="s">
        <v>418</v>
      </c>
      <c r="D23" s="38"/>
      <c r="E23" s="182">
        <v>1.0</v>
      </c>
      <c r="F23" s="117">
        <v>1.0</v>
      </c>
      <c r="G23" s="38"/>
      <c r="H23" s="43"/>
      <c r="I23" s="38">
        <f t="shared" si="1"/>
        <v>1</v>
      </c>
      <c r="J23" s="25">
        <f t="shared" si="2"/>
        <v>0</v>
      </c>
      <c r="K23" s="106"/>
      <c r="L23" s="54" t="s">
        <v>211</v>
      </c>
      <c r="M23" s="29" t="str">
        <f t="shared" si="3"/>
        <v>CRITICO</v>
      </c>
    </row>
    <row r="24" ht="15.75" customHeight="1">
      <c r="B24" s="222" t="s">
        <v>346</v>
      </c>
      <c r="C24" s="96" t="s">
        <v>420</v>
      </c>
      <c r="D24" s="38"/>
      <c r="E24" s="182">
        <v>1.0</v>
      </c>
      <c r="F24" s="117">
        <v>1.0</v>
      </c>
      <c r="G24" s="38"/>
      <c r="H24" s="43"/>
      <c r="I24" s="38">
        <f t="shared" si="1"/>
        <v>1</v>
      </c>
      <c r="J24" s="25">
        <f t="shared" si="2"/>
        <v>0</v>
      </c>
      <c r="K24" s="106"/>
      <c r="L24" s="54" t="s">
        <v>211</v>
      </c>
      <c r="M24" s="29" t="str">
        <f t="shared" si="3"/>
        <v>CRITICO</v>
      </c>
    </row>
    <row r="25" ht="15.75" customHeight="1">
      <c r="B25" s="222" t="s">
        <v>346</v>
      </c>
      <c r="C25" s="96" t="s">
        <v>422</v>
      </c>
      <c r="D25" s="38"/>
      <c r="E25" s="182">
        <v>1.0</v>
      </c>
      <c r="F25" s="117">
        <v>1.0</v>
      </c>
      <c r="G25" s="38"/>
      <c r="H25" s="43"/>
      <c r="I25" s="38">
        <f t="shared" si="1"/>
        <v>1</v>
      </c>
      <c r="J25" s="25">
        <f t="shared" si="2"/>
        <v>0</v>
      </c>
      <c r="K25" s="106"/>
      <c r="L25" s="54" t="s">
        <v>211</v>
      </c>
      <c r="M25" s="29" t="str">
        <f t="shared" si="3"/>
        <v>CRITICO</v>
      </c>
    </row>
    <row r="26" ht="15.75" customHeight="1">
      <c r="B26" s="222" t="s">
        <v>346</v>
      </c>
      <c r="C26" s="96" t="s">
        <v>425</v>
      </c>
      <c r="D26" s="38"/>
      <c r="E26" s="182">
        <v>1.0</v>
      </c>
      <c r="F26" s="117">
        <v>9.0</v>
      </c>
      <c r="G26" s="38"/>
      <c r="H26" s="43"/>
      <c r="I26" s="38">
        <f t="shared" si="1"/>
        <v>9</v>
      </c>
      <c r="J26" s="25">
        <f t="shared" si="2"/>
        <v>1</v>
      </c>
      <c r="K26" s="106">
        <v>33000.0</v>
      </c>
      <c r="L26" s="54" t="s">
        <v>211</v>
      </c>
      <c r="M26" s="29" t="str">
        <f t="shared" si="3"/>
        <v>BIEN</v>
      </c>
    </row>
    <row r="27" ht="15.75" customHeight="1">
      <c r="B27" s="222" t="s">
        <v>346</v>
      </c>
      <c r="C27" s="96" t="s">
        <v>427</v>
      </c>
      <c r="D27" s="38"/>
      <c r="E27" s="182">
        <v>1.0</v>
      </c>
      <c r="F27" s="117">
        <v>0.0</v>
      </c>
      <c r="G27" s="38"/>
      <c r="H27" s="43"/>
      <c r="I27" s="38">
        <f t="shared" si="1"/>
        <v>0</v>
      </c>
      <c r="J27" s="25">
        <f t="shared" si="2"/>
        <v>0</v>
      </c>
      <c r="K27" s="106">
        <v>16000.0</v>
      </c>
      <c r="L27" s="54" t="s">
        <v>211</v>
      </c>
      <c r="M27" s="29" t="str">
        <f t="shared" si="3"/>
        <v>CRITICO</v>
      </c>
    </row>
    <row r="28" ht="15.75" customHeight="1">
      <c r="B28" s="222" t="s">
        <v>346</v>
      </c>
      <c r="C28" s="96" t="s">
        <v>429</v>
      </c>
      <c r="D28" s="38"/>
      <c r="E28" s="182">
        <v>3.0</v>
      </c>
      <c r="F28" s="117">
        <v>8.0</v>
      </c>
      <c r="G28" s="38"/>
      <c r="H28" s="43"/>
      <c r="I28" s="38">
        <f t="shared" si="1"/>
        <v>8</v>
      </c>
      <c r="J28" s="25">
        <f t="shared" si="2"/>
        <v>1</v>
      </c>
      <c r="K28" s="106">
        <v>8000.0</v>
      </c>
      <c r="L28" s="147" t="s">
        <v>430</v>
      </c>
      <c r="M28" s="29" t="str">
        <f t="shared" si="3"/>
        <v>BIEN</v>
      </c>
    </row>
    <row r="29" ht="15.75" customHeight="1">
      <c r="B29" s="222" t="s">
        <v>346</v>
      </c>
      <c r="C29" s="96" t="s">
        <v>161</v>
      </c>
      <c r="D29" s="38"/>
      <c r="E29" s="182">
        <v>3.0</v>
      </c>
      <c r="F29" s="117">
        <v>9.0</v>
      </c>
      <c r="G29" s="38"/>
      <c r="H29" s="138"/>
      <c r="I29" s="38">
        <f t="shared" si="1"/>
        <v>9</v>
      </c>
      <c r="J29" s="25">
        <f t="shared" si="2"/>
        <v>1</v>
      </c>
      <c r="K29" s="106">
        <v>10000.0</v>
      </c>
      <c r="L29" s="54" t="s">
        <v>211</v>
      </c>
      <c r="M29" s="29" t="str">
        <f t="shared" si="3"/>
        <v>BIEN</v>
      </c>
    </row>
    <row r="30" ht="15.75" customHeight="1">
      <c r="B30" s="222" t="s">
        <v>346</v>
      </c>
      <c r="C30" s="96" t="s">
        <v>431</v>
      </c>
      <c r="D30" s="38"/>
      <c r="E30" s="182">
        <v>3.0</v>
      </c>
      <c r="F30" s="117">
        <v>9.0</v>
      </c>
      <c r="G30" s="38"/>
      <c r="H30" s="43"/>
      <c r="I30" s="38">
        <f t="shared" si="1"/>
        <v>9</v>
      </c>
      <c r="J30" s="25">
        <f t="shared" si="2"/>
        <v>1</v>
      </c>
      <c r="K30" s="106">
        <v>28560.0</v>
      </c>
      <c r="L30" s="147" t="s">
        <v>430</v>
      </c>
      <c r="M30" s="29" t="str">
        <f t="shared" si="3"/>
        <v>BIEN</v>
      </c>
    </row>
    <row r="31" ht="15.75" customHeight="1">
      <c r="B31" s="222" t="s">
        <v>346</v>
      </c>
      <c r="C31" s="149"/>
      <c r="D31" s="38"/>
      <c r="E31" s="52"/>
      <c r="F31" s="138"/>
      <c r="G31" s="38"/>
      <c r="H31" s="43"/>
      <c r="I31" s="38">
        <f t="shared" si="1"/>
        <v>0</v>
      </c>
      <c r="J31" s="25">
        <f t="shared" si="2"/>
        <v>0</v>
      </c>
      <c r="K31" s="106"/>
      <c r="L31" s="54" t="s">
        <v>211</v>
      </c>
      <c r="M31" s="29" t="str">
        <f t="shared" si="3"/>
        <v>CRITICO</v>
      </c>
    </row>
    <row r="32" ht="15.75" customHeight="1">
      <c r="B32" s="222" t="s">
        <v>346</v>
      </c>
      <c r="C32" s="149"/>
      <c r="D32" s="38"/>
      <c r="E32" s="52"/>
      <c r="F32" s="138"/>
      <c r="G32" s="38"/>
      <c r="H32" s="43"/>
      <c r="I32" s="38">
        <f t="shared" si="1"/>
        <v>0</v>
      </c>
      <c r="J32" s="25">
        <f t="shared" si="2"/>
        <v>0</v>
      </c>
      <c r="K32" s="106"/>
      <c r="L32" s="54" t="s">
        <v>211</v>
      </c>
      <c r="M32" s="29" t="str">
        <f t="shared" si="3"/>
        <v>CRITICO</v>
      </c>
    </row>
    <row r="33" ht="15.75" customHeight="1">
      <c r="B33" s="222" t="s">
        <v>346</v>
      </c>
      <c r="C33" s="149"/>
      <c r="D33" s="38"/>
      <c r="E33" s="52"/>
      <c r="F33" s="43"/>
      <c r="G33" s="38"/>
      <c r="H33" s="43"/>
      <c r="I33" s="38">
        <f t="shared" si="1"/>
        <v>0</v>
      </c>
      <c r="J33" s="25">
        <f t="shared" si="2"/>
        <v>0</v>
      </c>
      <c r="K33" s="106"/>
      <c r="L33" s="54" t="s">
        <v>211</v>
      </c>
      <c r="M33" s="29" t="str">
        <f t="shared" si="3"/>
        <v>CRITICO</v>
      </c>
    </row>
    <row r="34" ht="15.75" customHeight="1">
      <c r="B34" s="222" t="s">
        <v>346</v>
      </c>
      <c r="C34" s="149"/>
      <c r="D34" s="38"/>
      <c r="E34" s="52"/>
      <c r="F34" s="43"/>
      <c r="G34" s="38"/>
      <c r="H34" s="43"/>
      <c r="I34" s="38">
        <f t="shared" si="1"/>
        <v>0</v>
      </c>
      <c r="J34" s="25">
        <f t="shared" si="2"/>
        <v>0</v>
      </c>
      <c r="K34" s="106"/>
      <c r="L34" s="54" t="s">
        <v>211</v>
      </c>
      <c r="M34" s="29" t="str">
        <f t="shared" si="3"/>
        <v>CRITICO</v>
      </c>
    </row>
    <row r="35" ht="15.75" customHeight="1">
      <c r="B35" s="222" t="s">
        <v>346</v>
      </c>
      <c r="C35" s="149"/>
      <c r="D35" s="38"/>
      <c r="E35" s="52"/>
      <c r="F35" s="138"/>
      <c r="G35" s="38"/>
      <c r="H35" s="43"/>
      <c r="I35" s="38">
        <f t="shared" si="1"/>
        <v>0</v>
      </c>
      <c r="J35" s="25">
        <f t="shared" si="2"/>
        <v>0</v>
      </c>
      <c r="K35" s="106"/>
      <c r="L35" s="54" t="s">
        <v>211</v>
      </c>
      <c r="M35" s="29" t="str">
        <f t="shared" si="3"/>
        <v>CRITICO</v>
      </c>
    </row>
    <row r="36" ht="15.75" customHeight="1">
      <c r="B36" s="222" t="s">
        <v>346</v>
      </c>
      <c r="C36" s="149"/>
      <c r="D36" s="38"/>
      <c r="E36" s="52"/>
      <c r="F36" s="138"/>
      <c r="G36" s="38"/>
      <c r="H36" s="43"/>
      <c r="I36" s="38">
        <f t="shared" si="1"/>
        <v>0</v>
      </c>
      <c r="J36" s="25">
        <f t="shared" si="2"/>
        <v>0</v>
      </c>
      <c r="K36" s="106"/>
      <c r="L36" s="54" t="s">
        <v>211</v>
      </c>
      <c r="M36" s="29" t="str">
        <f t="shared" si="3"/>
        <v>CRITICO</v>
      </c>
    </row>
    <row r="37" ht="15.75" customHeight="1">
      <c r="B37" s="222" t="s">
        <v>346</v>
      </c>
      <c r="C37" s="149"/>
      <c r="D37" s="38"/>
      <c r="E37" s="52"/>
      <c r="F37" s="138"/>
      <c r="G37" s="38"/>
      <c r="H37" s="43"/>
      <c r="I37" s="38">
        <f t="shared" si="1"/>
        <v>0</v>
      </c>
      <c r="J37" s="25">
        <f t="shared" si="2"/>
        <v>0</v>
      </c>
      <c r="K37" s="106"/>
      <c r="L37" s="54" t="s">
        <v>211</v>
      </c>
      <c r="M37" s="29" t="str">
        <f t="shared" si="3"/>
        <v>CRITICO</v>
      </c>
    </row>
    <row r="38" ht="15.75" customHeight="1">
      <c r="B38" s="222" t="s">
        <v>346</v>
      </c>
      <c r="C38" s="149"/>
      <c r="D38" s="38"/>
      <c r="E38" s="52"/>
      <c r="F38" s="138"/>
      <c r="G38" s="38"/>
      <c r="H38" s="43"/>
      <c r="I38" s="38">
        <f t="shared" si="1"/>
        <v>0</v>
      </c>
      <c r="J38" s="25">
        <f t="shared" si="2"/>
        <v>0</v>
      </c>
      <c r="K38" s="106"/>
      <c r="L38" s="54" t="s">
        <v>211</v>
      </c>
      <c r="M38" s="29" t="str">
        <f t="shared" si="3"/>
        <v>CRITICO</v>
      </c>
    </row>
    <row r="39" ht="15.75" customHeight="1">
      <c r="B39" s="222" t="s">
        <v>346</v>
      </c>
      <c r="C39" s="149"/>
      <c r="D39" s="38"/>
      <c r="E39" s="52"/>
      <c r="F39" s="43"/>
      <c r="G39" s="38"/>
      <c r="H39" s="43"/>
      <c r="I39" s="38">
        <f t="shared" si="1"/>
        <v>0</v>
      </c>
      <c r="J39" s="25">
        <f t="shared" si="2"/>
        <v>0</v>
      </c>
      <c r="K39" s="106"/>
      <c r="L39" s="54" t="s">
        <v>211</v>
      </c>
      <c r="M39" s="29" t="str">
        <f t="shared" si="3"/>
        <v>CRITICO</v>
      </c>
    </row>
    <row r="40" ht="15.75" customHeight="1">
      <c r="B40" s="222" t="s">
        <v>346</v>
      </c>
      <c r="C40" s="149"/>
      <c r="D40" s="38"/>
      <c r="E40" s="52"/>
      <c r="F40" s="43"/>
      <c r="G40" s="38"/>
      <c r="H40" s="43"/>
      <c r="I40" s="38">
        <f t="shared" si="1"/>
        <v>0</v>
      </c>
      <c r="J40" s="25">
        <f t="shared" si="2"/>
        <v>0</v>
      </c>
      <c r="K40" s="106"/>
      <c r="L40" s="54" t="s">
        <v>211</v>
      </c>
      <c r="M40" s="29" t="str">
        <f t="shared" si="3"/>
        <v>CRITICO</v>
      </c>
    </row>
    <row r="41" ht="15.75" customHeight="1">
      <c r="B41" s="222" t="s">
        <v>346</v>
      </c>
      <c r="C41" s="149"/>
      <c r="D41" s="38"/>
      <c r="E41" s="52"/>
      <c r="F41" s="138"/>
      <c r="G41" s="38"/>
      <c r="H41" s="43"/>
      <c r="I41" s="38">
        <f t="shared" si="1"/>
        <v>0</v>
      </c>
      <c r="J41" s="25">
        <f t="shared" si="2"/>
        <v>0</v>
      </c>
      <c r="K41" s="106"/>
      <c r="L41" s="54" t="s">
        <v>211</v>
      </c>
      <c r="M41" s="29" t="str">
        <f t="shared" si="3"/>
        <v>CRITICO</v>
      </c>
    </row>
    <row r="42" ht="15.75" customHeight="1">
      <c r="B42" s="222" t="s">
        <v>346</v>
      </c>
      <c r="C42" s="149"/>
      <c r="D42" s="38"/>
      <c r="E42" s="52"/>
      <c r="F42" s="138"/>
      <c r="G42" s="38"/>
      <c r="H42" s="43"/>
      <c r="I42" s="38">
        <f t="shared" si="1"/>
        <v>0</v>
      </c>
      <c r="J42" s="25">
        <f t="shared" si="2"/>
        <v>0</v>
      </c>
      <c r="K42" s="106"/>
      <c r="L42" s="54" t="s">
        <v>211</v>
      </c>
      <c r="M42" s="29" t="str">
        <f t="shared" si="3"/>
        <v>CRITICO</v>
      </c>
    </row>
    <row r="43" ht="15.75" customHeight="1">
      <c r="B43" s="222" t="s">
        <v>346</v>
      </c>
      <c r="C43" s="149"/>
      <c r="D43" s="38"/>
      <c r="E43" s="52"/>
      <c r="F43" s="138"/>
      <c r="G43" s="38"/>
      <c r="H43" s="43"/>
      <c r="I43" s="38">
        <f t="shared" si="1"/>
        <v>0</v>
      </c>
      <c r="J43" s="25">
        <f t="shared" si="2"/>
        <v>0</v>
      </c>
      <c r="K43" s="106"/>
      <c r="L43" s="54" t="s">
        <v>211</v>
      </c>
      <c r="M43" s="29" t="str">
        <f t="shared" si="3"/>
        <v>CRITICO</v>
      </c>
    </row>
    <row r="44" ht="15.75" customHeight="1">
      <c r="B44" s="222" t="s">
        <v>346</v>
      </c>
      <c r="C44" s="149"/>
      <c r="D44" s="38"/>
      <c r="E44" s="52"/>
      <c r="F44" s="138"/>
      <c r="G44" s="38"/>
      <c r="H44" s="43"/>
      <c r="I44" s="38">
        <f t="shared" si="1"/>
        <v>0</v>
      </c>
      <c r="J44" s="25">
        <f t="shared" si="2"/>
        <v>0</v>
      </c>
      <c r="K44" s="106"/>
      <c r="L44" s="54" t="s">
        <v>211</v>
      </c>
      <c r="M44" s="29" t="str">
        <f t="shared" si="3"/>
        <v>CRITICO</v>
      </c>
    </row>
    <row r="45" ht="15.75" customHeight="1">
      <c r="B45" s="222" t="s">
        <v>346</v>
      </c>
      <c r="C45" s="149"/>
      <c r="D45" s="38"/>
      <c r="E45" s="52"/>
      <c r="F45" s="138"/>
      <c r="G45" s="38"/>
      <c r="H45" s="43"/>
      <c r="I45" s="38">
        <f t="shared" si="1"/>
        <v>0</v>
      </c>
      <c r="J45" s="25">
        <f t="shared" si="2"/>
        <v>0</v>
      </c>
      <c r="K45" s="106"/>
      <c r="L45" s="54" t="s">
        <v>211</v>
      </c>
      <c r="M45" s="29" t="str">
        <f t="shared" si="3"/>
        <v>CRITICO</v>
      </c>
    </row>
    <row r="46" ht="15.75" customHeight="1">
      <c r="B46" s="222" t="s">
        <v>346</v>
      </c>
      <c r="C46" s="149"/>
      <c r="D46" s="38"/>
      <c r="E46" s="52"/>
      <c r="F46" s="138"/>
      <c r="G46" s="38"/>
      <c r="H46" s="43"/>
      <c r="I46" s="38">
        <f t="shared" si="1"/>
        <v>0</v>
      </c>
      <c r="J46" s="25">
        <f t="shared" si="2"/>
        <v>0</v>
      </c>
      <c r="K46" s="106"/>
      <c r="L46" s="54" t="s">
        <v>211</v>
      </c>
      <c r="M46" s="29" t="str">
        <f t="shared" si="3"/>
        <v>CRITICO</v>
      </c>
    </row>
    <row r="47" ht="15.75" customHeight="1">
      <c r="B47" s="222" t="s">
        <v>346</v>
      </c>
      <c r="C47" s="149"/>
      <c r="D47" s="38"/>
      <c r="E47" s="52"/>
      <c r="F47" s="138"/>
      <c r="G47" s="38"/>
      <c r="H47" s="43"/>
      <c r="I47" s="38">
        <f t="shared" si="1"/>
        <v>0</v>
      </c>
      <c r="J47" s="25">
        <f t="shared" si="2"/>
        <v>0</v>
      </c>
      <c r="K47" s="106"/>
      <c r="L47" s="54" t="s">
        <v>211</v>
      </c>
      <c r="M47" s="29" t="str">
        <f t="shared" si="3"/>
        <v>CRITICO</v>
      </c>
    </row>
    <row r="48" ht="15.75" customHeight="1">
      <c r="B48" s="222" t="s">
        <v>346</v>
      </c>
      <c r="C48" s="149"/>
      <c r="D48" s="38"/>
      <c r="E48" s="52"/>
      <c r="F48" s="138"/>
      <c r="G48" s="38"/>
      <c r="H48" s="43"/>
      <c r="I48" s="38">
        <f t="shared" si="1"/>
        <v>0</v>
      </c>
      <c r="J48" s="25">
        <f t="shared" si="2"/>
        <v>0</v>
      </c>
      <c r="K48" s="106"/>
      <c r="L48" s="54" t="s">
        <v>211</v>
      </c>
      <c r="M48" s="29" t="str">
        <f t="shared" si="3"/>
        <v>CRITICO</v>
      </c>
    </row>
    <row r="49" ht="15.75" customHeight="1">
      <c r="B49" s="222" t="s">
        <v>346</v>
      </c>
      <c r="C49" s="149"/>
      <c r="D49" s="38"/>
      <c r="E49" s="52"/>
      <c r="F49" s="43"/>
      <c r="G49" s="38"/>
      <c r="H49" s="43"/>
      <c r="I49" s="38">
        <f t="shared" si="1"/>
        <v>0</v>
      </c>
      <c r="J49" s="25">
        <f t="shared" si="2"/>
        <v>0</v>
      </c>
      <c r="K49" s="106"/>
      <c r="L49" s="54" t="s">
        <v>211</v>
      </c>
      <c r="M49" s="29" t="str">
        <f t="shared" si="3"/>
        <v>CRITICO</v>
      </c>
    </row>
    <row r="50" ht="15.75" customHeight="1">
      <c r="B50" s="222" t="s">
        <v>346</v>
      </c>
      <c r="C50" s="149"/>
      <c r="D50" s="38"/>
      <c r="E50" s="52"/>
      <c r="F50" s="138"/>
      <c r="G50" s="38"/>
      <c r="H50" s="43"/>
      <c r="I50" s="38">
        <f t="shared" si="1"/>
        <v>0</v>
      </c>
      <c r="J50" s="25">
        <f t="shared" si="2"/>
        <v>0</v>
      </c>
      <c r="K50" s="106"/>
      <c r="L50" s="54" t="s">
        <v>211</v>
      </c>
      <c r="M50" s="29" t="str">
        <f t="shared" si="3"/>
        <v>CRITICO</v>
      </c>
    </row>
    <row r="51" ht="15.75" customHeight="1">
      <c r="B51" s="222" t="s">
        <v>346</v>
      </c>
      <c r="C51" s="149"/>
      <c r="D51" s="38"/>
      <c r="E51" s="52"/>
      <c r="F51" s="138"/>
      <c r="G51" s="38"/>
      <c r="H51" s="43"/>
      <c r="I51" s="38">
        <f t="shared" si="1"/>
        <v>0</v>
      </c>
      <c r="J51" s="25">
        <f t="shared" si="2"/>
        <v>0</v>
      </c>
      <c r="K51" s="106"/>
      <c r="L51" s="54" t="s">
        <v>370</v>
      </c>
      <c r="M51" s="29" t="str">
        <f t="shared" si="3"/>
        <v>CRITICO</v>
      </c>
    </row>
    <row r="52" ht="15.75" customHeight="1">
      <c r="B52" s="222" t="s">
        <v>346</v>
      </c>
      <c r="C52" s="149"/>
      <c r="D52" s="38"/>
      <c r="E52" s="52"/>
      <c r="F52" s="138"/>
      <c r="G52" s="38"/>
      <c r="H52" s="43"/>
      <c r="I52" s="38">
        <f t="shared" si="1"/>
        <v>0</v>
      </c>
      <c r="J52" s="25">
        <f t="shared" si="2"/>
        <v>0</v>
      </c>
      <c r="K52" s="106"/>
      <c r="L52" s="54" t="s">
        <v>211</v>
      </c>
      <c r="M52" s="29" t="str">
        <f t="shared" si="3"/>
        <v>CRITICO</v>
      </c>
    </row>
    <row r="53" ht="15.75" customHeight="1">
      <c r="B53" s="222" t="s">
        <v>346</v>
      </c>
      <c r="C53" s="149"/>
      <c r="D53" s="38"/>
      <c r="E53" s="52"/>
      <c r="F53" s="43"/>
      <c r="G53" s="38"/>
      <c r="H53" s="43"/>
      <c r="I53" s="38">
        <f t="shared" si="1"/>
        <v>0</v>
      </c>
      <c r="J53" s="25">
        <f t="shared" si="2"/>
        <v>0</v>
      </c>
      <c r="K53" s="106"/>
      <c r="L53" s="54" t="s">
        <v>211</v>
      </c>
      <c r="M53" s="29" t="str">
        <f t="shared" si="3"/>
        <v>CRITICO</v>
      </c>
    </row>
    <row r="54" ht="15.75" customHeight="1">
      <c r="B54" s="222" t="s">
        <v>346</v>
      </c>
      <c r="C54" s="149"/>
      <c r="D54" s="38"/>
      <c r="E54" s="52"/>
      <c r="F54" s="138"/>
      <c r="G54" s="38"/>
      <c r="H54" s="43"/>
      <c r="I54" s="38">
        <f t="shared" si="1"/>
        <v>0</v>
      </c>
      <c r="J54" s="25">
        <f t="shared" si="2"/>
        <v>0</v>
      </c>
      <c r="K54" s="106"/>
      <c r="L54" s="54" t="s">
        <v>211</v>
      </c>
      <c r="M54" s="29" t="str">
        <f t="shared" si="3"/>
        <v>CRITICO</v>
      </c>
    </row>
    <row r="55" ht="15.75" customHeight="1">
      <c r="B55" s="222" t="s">
        <v>346</v>
      </c>
      <c r="C55" s="149"/>
      <c r="D55" s="38"/>
      <c r="E55" s="52"/>
      <c r="F55" s="138"/>
      <c r="G55" s="38"/>
      <c r="H55" s="43"/>
      <c r="I55" s="38">
        <f t="shared" si="1"/>
        <v>0</v>
      </c>
      <c r="J55" s="25">
        <f t="shared" si="2"/>
        <v>0</v>
      </c>
      <c r="K55" s="106"/>
      <c r="L55" s="54" t="s">
        <v>211</v>
      </c>
      <c r="M55" s="29" t="str">
        <f t="shared" si="3"/>
        <v>CRITICO</v>
      </c>
    </row>
    <row r="56" ht="15.75" customHeight="1">
      <c r="B56" s="222" t="s">
        <v>346</v>
      </c>
      <c r="C56" s="149"/>
      <c r="D56" s="38"/>
      <c r="E56" s="52"/>
      <c r="F56" s="138"/>
      <c r="G56" s="38"/>
      <c r="H56" s="43"/>
      <c r="I56" s="38">
        <f t="shared" si="1"/>
        <v>0</v>
      </c>
      <c r="J56" s="25">
        <f t="shared" si="2"/>
        <v>0</v>
      </c>
      <c r="K56" s="106"/>
      <c r="L56" s="54" t="s">
        <v>211</v>
      </c>
      <c r="M56" s="29" t="str">
        <f t="shared" si="3"/>
        <v>CRITICO</v>
      </c>
    </row>
    <row r="57" ht="15.75" customHeight="1">
      <c r="B57" s="222" t="s">
        <v>346</v>
      </c>
      <c r="C57" s="149"/>
      <c r="D57" s="38"/>
      <c r="E57" s="52"/>
      <c r="F57" s="138"/>
      <c r="G57" s="38"/>
      <c r="H57" s="43"/>
      <c r="I57" s="38">
        <f t="shared" si="1"/>
        <v>0</v>
      </c>
      <c r="J57" s="25">
        <f t="shared" si="2"/>
        <v>0</v>
      </c>
      <c r="K57" s="106"/>
      <c r="L57" s="54" t="s">
        <v>211</v>
      </c>
      <c r="M57" s="29" t="str">
        <f t="shared" si="3"/>
        <v>CRITICO</v>
      </c>
    </row>
    <row r="58" ht="15.75" customHeight="1">
      <c r="B58" s="222" t="s">
        <v>346</v>
      </c>
      <c r="C58" s="149"/>
      <c r="D58" s="38"/>
      <c r="E58" s="52"/>
      <c r="F58" s="138"/>
      <c r="G58" s="38"/>
      <c r="H58" s="43"/>
      <c r="I58" s="38">
        <f t="shared" si="1"/>
        <v>0</v>
      </c>
      <c r="J58" s="25">
        <f t="shared" si="2"/>
        <v>0</v>
      </c>
      <c r="K58" s="106"/>
      <c r="L58" s="54" t="s">
        <v>211</v>
      </c>
      <c r="M58" s="29" t="str">
        <f t="shared" si="3"/>
        <v>CRITICO</v>
      </c>
    </row>
    <row r="59" ht="15.75" customHeight="1">
      <c r="B59" s="222" t="s">
        <v>346</v>
      </c>
      <c r="C59" s="149"/>
      <c r="D59" s="38"/>
      <c r="E59" s="52"/>
      <c r="F59" s="138"/>
      <c r="G59" s="38"/>
      <c r="H59" s="43"/>
      <c r="I59" s="38">
        <f t="shared" si="1"/>
        <v>0</v>
      </c>
      <c r="J59" s="25">
        <f t="shared" si="2"/>
        <v>0</v>
      </c>
      <c r="K59" s="106"/>
      <c r="L59" s="54" t="s">
        <v>211</v>
      </c>
      <c r="M59" s="29" t="str">
        <f t="shared" si="3"/>
        <v>CRITICO</v>
      </c>
    </row>
    <row r="60" ht="15.75" customHeight="1">
      <c r="B60" s="222" t="s">
        <v>346</v>
      </c>
      <c r="C60" s="149"/>
      <c r="D60" s="38"/>
      <c r="E60" s="52"/>
      <c r="F60" s="138"/>
      <c r="G60" s="38"/>
      <c r="H60" s="43"/>
      <c r="I60" s="38">
        <f t="shared" si="1"/>
        <v>0</v>
      </c>
      <c r="J60" s="25">
        <f t="shared" si="2"/>
        <v>0</v>
      </c>
      <c r="K60" s="106"/>
      <c r="L60" s="54" t="s">
        <v>211</v>
      </c>
      <c r="M60" s="29" t="str">
        <f t="shared" si="3"/>
        <v>CRITICO</v>
      </c>
    </row>
    <row r="61" ht="15.75" customHeight="1">
      <c r="B61" s="222" t="s">
        <v>346</v>
      </c>
      <c r="C61" s="149"/>
      <c r="D61" s="38"/>
      <c r="E61" s="52"/>
      <c r="F61" s="138"/>
      <c r="G61" s="38"/>
      <c r="H61" s="43"/>
      <c r="I61" s="38">
        <f t="shared" si="1"/>
        <v>0</v>
      </c>
      <c r="J61" s="25">
        <f t="shared" si="2"/>
        <v>0</v>
      </c>
      <c r="K61" s="106"/>
      <c r="L61" s="54" t="s">
        <v>211</v>
      </c>
      <c r="M61" s="29" t="str">
        <f t="shared" si="3"/>
        <v>CRITICO</v>
      </c>
    </row>
    <row r="62" ht="15.75" customHeight="1">
      <c r="B62" s="222" t="s">
        <v>346</v>
      </c>
      <c r="C62" s="149"/>
      <c r="D62" s="38"/>
      <c r="E62" s="52"/>
      <c r="F62" s="235"/>
      <c r="G62" s="38"/>
      <c r="H62" s="43"/>
      <c r="I62" s="38">
        <f t="shared" si="1"/>
        <v>0</v>
      </c>
      <c r="J62" s="25">
        <f t="shared" si="2"/>
        <v>0</v>
      </c>
      <c r="K62" s="106"/>
      <c r="L62" s="54" t="s">
        <v>211</v>
      </c>
      <c r="M62" s="29" t="str">
        <f t="shared" si="3"/>
        <v>CRITICO</v>
      </c>
    </row>
    <row r="63" ht="15.75" customHeight="1">
      <c r="B63" s="222" t="s">
        <v>346</v>
      </c>
      <c r="C63" s="149"/>
      <c r="D63" s="38"/>
      <c r="E63" s="52"/>
      <c r="F63" s="235"/>
      <c r="G63" s="38"/>
      <c r="H63" s="43"/>
      <c r="I63" s="38">
        <f t="shared" si="1"/>
        <v>0</v>
      </c>
      <c r="J63" s="25">
        <f t="shared" si="2"/>
        <v>0</v>
      </c>
      <c r="K63" s="106"/>
      <c r="L63" s="54" t="s">
        <v>211</v>
      </c>
      <c r="M63" s="29" t="str">
        <f t="shared" si="3"/>
        <v>CRITICO</v>
      </c>
    </row>
    <row r="64" ht="15.75" customHeight="1">
      <c r="B64" s="222" t="s">
        <v>346</v>
      </c>
      <c r="C64" s="149"/>
      <c r="D64" s="38"/>
      <c r="E64" s="52"/>
      <c r="F64" s="235"/>
      <c r="G64" s="38"/>
      <c r="H64" s="43"/>
      <c r="I64" s="38">
        <f t="shared" si="1"/>
        <v>0</v>
      </c>
      <c r="J64" s="25">
        <f t="shared" si="2"/>
        <v>0</v>
      </c>
      <c r="K64" s="106"/>
      <c r="L64" s="54" t="s">
        <v>211</v>
      </c>
      <c r="M64" s="29" t="str">
        <f t="shared" si="3"/>
        <v>CRITICO</v>
      </c>
    </row>
    <row r="65" ht="15.75" customHeight="1">
      <c r="B65" s="140" t="s">
        <v>452</v>
      </c>
      <c r="C65" s="142"/>
      <c r="D65" s="38"/>
      <c r="E65" s="52"/>
      <c r="F65" s="138"/>
      <c r="G65" s="38"/>
      <c r="H65" s="43"/>
      <c r="I65" s="38">
        <f t="shared" si="1"/>
        <v>0</v>
      </c>
      <c r="J65" s="25">
        <f t="shared" si="2"/>
        <v>0</v>
      </c>
      <c r="K65" s="106"/>
      <c r="L65" s="54" t="s">
        <v>211</v>
      </c>
      <c r="M65" s="29" t="str">
        <f t="shared" si="3"/>
        <v>CRITICO</v>
      </c>
    </row>
    <row r="66" ht="15.75" customHeight="1">
      <c r="B66" s="140" t="s">
        <v>452</v>
      </c>
      <c r="C66" s="149"/>
      <c r="D66" s="38"/>
      <c r="E66" s="52"/>
      <c r="F66" s="138"/>
      <c r="G66" s="38"/>
      <c r="H66" s="43"/>
      <c r="I66" s="38">
        <f t="shared" si="1"/>
        <v>0</v>
      </c>
      <c r="J66" s="25">
        <f t="shared" si="2"/>
        <v>0</v>
      </c>
      <c r="K66" s="106"/>
      <c r="L66" s="54" t="s">
        <v>211</v>
      </c>
      <c r="M66" s="29" t="str">
        <f t="shared" si="3"/>
        <v>CRITICO</v>
      </c>
    </row>
    <row r="67" ht="15.75" customHeight="1">
      <c r="B67" s="140" t="s">
        <v>452</v>
      </c>
      <c r="C67" s="149"/>
      <c r="D67" s="38"/>
      <c r="E67" s="52"/>
      <c r="F67" s="138"/>
      <c r="G67" s="38"/>
      <c r="H67" s="43"/>
      <c r="I67" s="38">
        <f t="shared" si="1"/>
        <v>0</v>
      </c>
      <c r="J67" s="25">
        <f t="shared" si="2"/>
        <v>0</v>
      </c>
      <c r="K67" s="106"/>
      <c r="L67" s="54" t="s">
        <v>211</v>
      </c>
      <c r="M67" s="29" t="str">
        <f t="shared" si="3"/>
        <v>CRITICO</v>
      </c>
    </row>
    <row r="68" ht="15.75" customHeight="1">
      <c r="B68" s="140" t="s">
        <v>452</v>
      </c>
      <c r="C68" s="149"/>
      <c r="D68" s="38"/>
      <c r="E68" s="52"/>
      <c r="F68" s="138"/>
      <c r="G68" s="38"/>
      <c r="H68" s="43"/>
      <c r="I68" s="38">
        <f t="shared" si="1"/>
        <v>0</v>
      </c>
      <c r="J68" s="25">
        <f t="shared" si="2"/>
        <v>0</v>
      </c>
      <c r="K68" s="106"/>
      <c r="L68" s="54" t="s">
        <v>211</v>
      </c>
      <c r="M68" s="29" t="str">
        <f t="shared" si="3"/>
        <v>CRITICO</v>
      </c>
    </row>
    <row r="69" ht="15.75" customHeight="1">
      <c r="B69" s="140" t="s">
        <v>452</v>
      </c>
      <c r="C69" s="149"/>
      <c r="D69" s="38"/>
      <c r="E69" s="52"/>
      <c r="F69" s="138"/>
      <c r="G69" s="38"/>
      <c r="H69" s="43"/>
      <c r="I69" s="38">
        <f t="shared" si="1"/>
        <v>0</v>
      </c>
      <c r="J69" s="25">
        <f t="shared" si="2"/>
        <v>0</v>
      </c>
      <c r="K69" s="106"/>
      <c r="L69" s="54" t="s">
        <v>211</v>
      </c>
      <c r="M69" s="29" t="str">
        <f t="shared" si="3"/>
        <v>CRITICO</v>
      </c>
    </row>
    <row r="70" ht="15.75" customHeight="1">
      <c r="B70" s="140" t="s">
        <v>452</v>
      </c>
      <c r="C70" s="149"/>
      <c r="D70" s="38"/>
      <c r="E70" s="52"/>
      <c r="F70" s="138"/>
      <c r="G70" s="38"/>
      <c r="H70" s="43"/>
      <c r="I70" s="38">
        <f t="shared" si="1"/>
        <v>0</v>
      </c>
      <c r="J70" s="25">
        <f t="shared" si="2"/>
        <v>0</v>
      </c>
      <c r="K70" s="106"/>
      <c r="L70" s="54" t="s">
        <v>211</v>
      </c>
      <c r="M70" s="29" t="str">
        <f t="shared" si="3"/>
        <v>CRITICO</v>
      </c>
    </row>
    <row r="71" ht="15.75" customHeight="1">
      <c r="B71" s="140" t="s">
        <v>452</v>
      </c>
      <c r="C71" s="149"/>
      <c r="D71" s="38"/>
      <c r="E71" s="52"/>
      <c r="F71" s="138"/>
      <c r="G71" s="38"/>
      <c r="H71" s="43"/>
      <c r="I71" s="38">
        <f t="shared" si="1"/>
        <v>0</v>
      </c>
      <c r="J71" s="25">
        <f t="shared" si="2"/>
        <v>0</v>
      </c>
      <c r="K71" s="106"/>
      <c r="L71" s="54" t="s">
        <v>211</v>
      </c>
      <c r="M71" s="29" t="str">
        <f t="shared" si="3"/>
        <v>CRITICO</v>
      </c>
    </row>
    <row r="72" ht="15.75" customHeight="1">
      <c r="B72" s="140" t="s">
        <v>452</v>
      </c>
      <c r="C72" s="149"/>
      <c r="D72" s="38"/>
      <c r="E72" s="52"/>
      <c r="F72" s="138"/>
      <c r="G72" s="38"/>
      <c r="H72" s="43"/>
      <c r="I72" s="38">
        <f t="shared" si="1"/>
        <v>0</v>
      </c>
      <c r="J72" s="25">
        <f t="shared" si="2"/>
        <v>0</v>
      </c>
      <c r="K72" s="106"/>
      <c r="L72" s="54" t="s">
        <v>211</v>
      </c>
      <c r="M72" s="29" t="str">
        <f t="shared" si="3"/>
        <v>CRITICO</v>
      </c>
    </row>
    <row r="73" ht="15.75" customHeight="1">
      <c r="B73" s="140" t="s">
        <v>452</v>
      </c>
      <c r="C73" s="149"/>
      <c r="D73" s="38"/>
      <c r="E73" s="52"/>
      <c r="F73" s="138"/>
      <c r="G73" s="38"/>
      <c r="H73" s="43"/>
      <c r="I73" s="38">
        <f t="shared" si="1"/>
        <v>0</v>
      </c>
      <c r="J73" s="25">
        <f t="shared" si="2"/>
        <v>0</v>
      </c>
      <c r="K73" s="106"/>
      <c r="L73" s="54" t="s">
        <v>211</v>
      </c>
      <c r="M73" s="29" t="str">
        <f t="shared" si="3"/>
        <v>CRITICO</v>
      </c>
    </row>
    <row r="74" ht="15.75" customHeight="1">
      <c r="B74" s="140" t="s">
        <v>452</v>
      </c>
      <c r="C74" s="149"/>
      <c r="D74" s="38"/>
      <c r="E74" s="52"/>
      <c r="F74" s="138"/>
      <c r="G74" s="38"/>
      <c r="H74" s="43"/>
      <c r="I74" s="38">
        <f t="shared" si="1"/>
        <v>0</v>
      </c>
      <c r="J74" s="25">
        <f t="shared" si="2"/>
        <v>0</v>
      </c>
      <c r="K74" s="106"/>
      <c r="L74" s="54" t="s">
        <v>211</v>
      </c>
      <c r="M74" s="29" t="str">
        <f t="shared" si="3"/>
        <v>CRITICO</v>
      </c>
    </row>
    <row r="75" ht="15.75" customHeight="1">
      <c r="B75" s="140" t="s">
        <v>452</v>
      </c>
      <c r="C75" s="149"/>
      <c r="D75" s="38"/>
      <c r="E75" s="52"/>
      <c r="F75" s="138"/>
      <c r="G75" s="38"/>
      <c r="H75" s="43"/>
      <c r="I75" s="38">
        <f t="shared" si="1"/>
        <v>0</v>
      </c>
      <c r="J75" s="25">
        <f t="shared" si="2"/>
        <v>0</v>
      </c>
      <c r="K75" s="106"/>
      <c r="L75" s="54" t="s">
        <v>211</v>
      </c>
      <c r="M75" s="29" t="str">
        <f t="shared" si="3"/>
        <v>CRITICO</v>
      </c>
    </row>
    <row r="76" ht="15.75" customHeight="1">
      <c r="B76" s="140" t="s">
        <v>452</v>
      </c>
      <c r="C76" s="149"/>
      <c r="D76" s="38"/>
      <c r="E76" s="52"/>
      <c r="F76" s="138"/>
      <c r="G76" s="38"/>
      <c r="H76" s="43"/>
      <c r="I76" s="38">
        <f t="shared" si="1"/>
        <v>0</v>
      </c>
      <c r="J76" s="25">
        <f t="shared" si="2"/>
        <v>0</v>
      </c>
      <c r="K76" s="106"/>
      <c r="L76" s="54" t="s">
        <v>211</v>
      </c>
      <c r="M76" s="29" t="str">
        <f t="shared" si="3"/>
        <v>CRITICO</v>
      </c>
    </row>
    <row r="77" ht="15.75" customHeight="1">
      <c r="B77" s="140" t="s">
        <v>452</v>
      </c>
      <c r="C77" s="149"/>
      <c r="D77" s="38"/>
      <c r="E77" s="52"/>
      <c r="F77" s="138"/>
      <c r="G77" s="38"/>
      <c r="H77" s="43"/>
      <c r="I77" s="38">
        <f t="shared" si="1"/>
        <v>0</v>
      </c>
      <c r="J77" s="25">
        <f t="shared" si="2"/>
        <v>0</v>
      </c>
      <c r="K77" s="106"/>
      <c r="L77" s="54" t="s">
        <v>211</v>
      </c>
      <c r="M77" s="29" t="str">
        <f t="shared" si="3"/>
        <v>CRITICO</v>
      </c>
    </row>
    <row r="78" ht="15.75" customHeight="1">
      <c r="B78" s="140" t="s">
        <v>452</v>
      </c>
      <c r="C78" s="149"/>
      <c r="D78" s="38"/>
      <c r="E78" s="52"/>
      <c r="F78" s="138"/>
      <c r="G78" s="38"/>
      <c r="H78" s="43"/>
      <c r="I78" s="38">
        <f t="shared" si="1"/>
        <v>0</v>
      </c>
      <c r="J78" s="25">
        <f t="shared" si="2"/>
        <v>0</v>
      </c>
      <c r="K78" s="106"/>
      <c r="L78" s="54" t="s">
        <v>211</v>
      </c>
      <c r="M78" s="29" t="str">
        <f t="shared" si="3"/>
        <v>CRITICO</v>
      </c>
    </row>
    <row r="79" ht="15.75" customHeight="1">
      <c r="B79" s="140" t="s">
        <v>452</v>
      </c>
      <c r="C79" s="149"/>
      <c r="D79" s="38"/>
      <c r="E79" s="52"/>
      <c r="F79" s="138"/>
      <c r="G79" s="38"/>
      <c r="H79" s="43"/>
      <c r="I79" s="38">
        <f t="shared" si="1"/>
        <v>0</v>
      </c>
      <c r="J79" s="25">
        <f t="shared" si="2"/>
        <v>0</v>
      </c>
      <c r="K79" s="106"/>
      <c r="L79" s="54" t="s">
        <v>211</v>
      </c>
      <c r="M79" s="29" t="str">
        <f t="shared" si="3"/>
        <v>CRITICO</v>
      </c>
    </row>
    <row r="80" ht="15.75" customHeight="1">
      <c r="B80" s="140" t="s">
        <v>452</v>
      </c>
      <c r="C80" s="149"/>
      <c r="D80" s="38"/>
      <c r="E80" s="52"/>
      <c r="F80" s="138"/>
      <c r="G80" s="38"/>
      <c r="H80" s="43"/>
      <c r="I80" s="38">
        <f t="shared" si="1"/>
        <v>0</v>
      </c>
      <c r="J80" s="25">
        <f t="shared" si="2"/>
        <v>0</v>
      </c>
      <c r="K80" s="106"/>
      <c r="L80" s="54" t="s">
        <v>211</v>
      </c>
      <c r="M80" s="29" t="str">
        <f t="shared" si="3"/>
        <v>CRITICO</v>
      </c>
    </row>
    <row r="81" ht="15.75" customHeight="1">
      <c r="B81" s="140" t="s">
        <v>452</v>
      </c>
      <c r="C81" s="149"/>
      <c r="D81" s="38"/>
      <c r="E81" s="52"/>
      <c r="F81" s="138"/>
      <c r="G81" s="38"/>
      <c r="H81" s="43"/>
      <c r="I81" s="38">
        <f t="shared" si="1"/>
        <v>0</v>
      </c>
      <c r="J81" s="25">
        <f t="shared" si="2"/>
        <v>0</v>
      </c>
      <c r="K81" s="106"/>
      <c r="L81" s="54" t="s">
        <v>211</v>
      </c>
      <c r="M81" s="29" t="str">
        <f t="shared" si="3"/>
        <v>CRITICO</v>
      </c>
    </row>
    <row r="82" ht="15.75" customHeight="1">
      <c r="B82" s="140" t="s">
        <v>452</v>
      </c>
      <c r="C82" s="149"/>
      <c r="D82" s="38"/>
      <c r="E82" s="52"/>
      <c r="F82" s="138"/>
      <c r="G82" s="38"/>
      <c r="H82" s="43"/>
      <c r="I82" s="38">
        <f t="shared" si="1"/>
        <v>0</v>
      </c>
      <c r="J82" s="25">
        <f t="shared" si="2"/>
        <v>0</v>
      </c>
      <c r="K82" s="106"/>
      <c r="L82" s="54" t="s">
        <v>211</v>
      </c>
      <c r="M82" s="29" t="str">
        <f t="shared" si="3"/>
        <v>CRITICO</v>
      </c>
    </row>
    <row r="83" ht="15.75" customHeight="1">
      <c r="B83" s="140" t="s">
        <v>452</v>
      </c>
      <c r="C83" s="149"/>
      <c r="D83" s="38"/>
      <c r="E83" s="52"/>
      <c r="F83" s="138"/>
      <c r="G83" s="38"/>
      <c r="H83" s="43"/>
      <c r="I83" s="38">
        <f t="shared" si="1"/>
        <v>0</v>
      </c>
      <c r="J83" s="25">
        <f t="shared" si="2"/>
        <v>0</v>
      </c>
      <c r="K83" s="106"/>
      <c r="L83" s="54" t="s">
        <v>211</v>
      </c>
      <c r="M83" s="29" t="str">
        <f t="shared" si="3"/>
        <v>CRITICO</v>
      </c>
    </row>
    <row r="84" ht="15.75" customHeight="1">
      <c r="B84" s="140" t="s">
        <v>452</v>
      </c>
      <c r="C84" s="149"/>
      <c r="D84" s="38"/>
      <c r="E84" s="52"/>
      <c r="F84" s="138"/>
      <c r="G84" s="38"/>
      <c r="H84" s="43"/>
      <c r="I84" s="38">
        <f t="shared" si="1"/>
        <v>0</v>
      </c>
      <c r="J84" s="25">
        <f t="shared" si="2"/>
        <v>0</v>
      </c>
      <c r="K84" s="106"/>
      <c r="L84" s="54" t="s">
        <v>211</v>
      </c>
      <c r="M84" s="29" t="str">
        <f t="shared" si="3"/>
        <v>CRITICO</v>
      </c>
    </row>
    <row r="85" ht="15.75" customHeight="1">
      <c r="B85" s="140" t="s">
        <v>452</v>
      </c>
      <c r="C85" s="149"/>
      <c r="D85" s="38"/>
      <c r="E85" s="52"/>
      <c r="F85" s="138"/>
      <c r="G85" s="38"/>
      <c r="H85" s="43"/>
      <c r="I85" s="38">
        <f t="shared" si="1"/>
        <v>0</v>
      </c>
      <c r="J85" s="25">
        <f t="shared" si="2"/>
        <v>0</v>
      </c>
      <c r="K85" s="106"/>
      <c r="L85" s="54" t="s">
        <v>211</v>
      </c>
      <c r="M85" s="29" t="str">
        <f t="shared" si="3"/>
        <v>CRITICO</v>
      </c>
    </row>
    <row r="86" ht="15.75" customHeight="1">
      <c r="B86" s="140" t="s">
        <v>452</v>
      </c>
      <c r="C86" s="149"/>
      <c r="D86" s="38"/>
      <c r="E86" s="52"/>
      <c r="F86" s="138"/>
      <c r="G86" s="38"/>
      <c r="H86" s="43"/>
      <c r="I86" s="38">
        <f t="shared" si="1"/>
        <v>0</v>
      </c>
      <c r="J86" s="25">
        <f t="shared" si="2"/>
        <v>0</v>
      </c>
      <c r="K86" s="106"/>
      <c r="L86" s="54" t="s">
        <v>211</v>
      </c>
      <c r="M86" s="29" t="str">
        <f t="shared" si="3"/>
        <v>CRITICO</v>
      </c>
    </row>
    <row r="87" ht="15.75" customHeight="1">
      <c r="B87" s="140" t="s">
        <v>452</v>
      </c>
      <c r="C87" s="149"/>
      <c r="D87" s="38"/>
      <c r="E87" s="52"/>
      <c r="F87" s="138"/>
      <c r="G87" s="38"/>
      <c r="H87" s="43"/>
      <c r="I87" s="38">
        <f t="shared" si="1"/>
        <v>0</v>
      </c>
      <c r="J87" s="25">
        <f t="shared" si="2"/>
        <v>0</v>
      </c>
      <c r="K87" s="106"/>
      <c r="L87" s="54" t="s">
        <v>211</v>
      </c>
      <c r="M87" s="29" t="str">
        <f t="shared" si="3"/>
        <v>CRITICO</v>
      </c>
    </row>
    <row r="88" ht="15.75" customHeight="1">
      <c r="B88" s="140" t="s">
        <v>452</v>
      </c>
      <c r="C88" s="149"/>
      <c r="D88" s="38"/>
      <c r="E88" s="52"/>
      <c r="F88" s="138"/>
      <c r="G88" s="38"/>
      <c r="H88" s="43"/>
      <c r="I88" s="38">
        <f t="shared" si="1"/>
        <v>0</v>
      </c>
      <c r="J88" s="25">
        <f t="shared" si="2"/>
        <v>0</v>
      </c>
      <c r="K88" s="106"/>
      <c r="L88" s="54" t="s">
        <v>211</v>
      </c>
      <c r="M88" s="29" t="str">
        <f t="shared" si="3"/>
        <v>CRITICO</v>
      </c>
    </row>
    <row r="89" ht="15.75" customHeight="1">
      <c r="B89" s="140" t="s">
        <v>452</v>
      </c>
      <c r="C89" s="149"/>
      <c r="D89" s="38"/>
      <c r="E89" s="52"/>
      <c r="F89" s="138"/>
      <c r="G89" s="38"/>
      <c r="H89" s="43"/>
      <c r="I89" s="38">
        <f t="shared" si="1"/>
        <v>0</v>
      </c>
      <c r="J89" s="25">
        <f t="shared" si="2"/>
        <v>0</v>
      </c>
      <c r="K89" s="106"/>
      <c r="L89" s="54" t="s">
        <v>211</v>
      </c>
      <c r="M89" s="29" t="str">
        <f t="shared" si="3"/>
        <v>CRITICO</v>
      </c>
    </row>
    <row r="90" ht="15.75" customHeight="1">
      <c r="B90" s="140" t="s">
        <v>452</v>
      </c>
      <c r="C90" s="149"/>
      <c r="D90" s="38"/>
      <c r="E90" s="52"/>
      <c r="F90" s="138"/>
      <c r="G90" s="38"/>
      <c r="H90" s="43"/>
      <c r="I90" s="38">
        <f t="shared" si="1"/>
        <v>0</v>
      </c>
      <c r="J90" s="25">
        <f t="shared" si="2"/>
        <v>0</v>
      </c>
      <c r="K90" s="106"/>
      <c r="L90" s="54" t="s">
        <v>211</v>
      </c>
      <c r="M90" s="29" t="str">
        <f t="shared" si="3"/>
        <v>CRITICO</v>
      </c>
    </row>
    <row r="91" ht="15.75" customHeight="1">
      <c r="B91" s="43"/>
      <c r="C91" s="149"/>
      <c r="D91" s="38"/>
      <c r="E91" s="52"/>
      <c r="F91" s="138"/>
      <c r="G91" s="38"/>
      <c r="H91" s="43"/>
      <c r="I91" s="38">
        <f t="shared" si="1"/>
        <v>0</v>
      </c>
      <c r="J91" s="25">
        <f t="shared" si="2"/>
        <v>0</v>
      </c>
      <c r="K91" s="106"/>
      <c r="L91" s="54" t="s">
        <v>211</v>
      </c>
      <c r="M91" s="29" t="str">
        <f t="shared" si="3"/>
        <v>CRITICO</v>
      </c>
    </row>
    <row r="92" ht="15.75" customHeight="1">
      <c r="B92" s="140" t="s">
        <v>452</v>
      </c>
      <c r="C92" s="149"/>
      <c r="D92" s="38"/>
      <c r="E92" s="52"/>
      <c r="F92" s="138"/>
      <c r="G92" s="38"/>
      <c r="H92" s="43"/>
      <c r="I92" s="38">
        <f t="shared" si="1"/>
        <v>0</v>
      </c>
      <c r="J92" s="25">
        <f t="shared" si="2"/>
        <v>0</v>
      </c>
      <c r="K92" s="106"/>
      <c r="L92" s="54" t="s">
        <v>211</v>
      </c>
      <c r="M92" s="29" t="str">
        <f t="shared" si="3"/>
        <v>CRITICO</v>
      </c>
    </row>
    <row r="93" ht="15.75" customHeight="1">
      <c r="B93" s="140" t="s">
        <v>452</v>
      </c>
      <c r="C93" s="149"/>
      <c r="D93" s="38"/>
      <c r="E93" s="52"/>
      <c r="F93" s="138"/>
      <c r="G93" s="38"/>
      <c r="H93" s="43"/>
      <c r="I93" s="38">
        <f t="shared" si="1"/>
        <v>0</v>
      </c>
      <c r="J93" s="25">
        <f t="shared" si="2"/>
        <v>0</v>
      </c>
      <c r="K93" s="106"/>
      <c r="L93" s="54" t="s">
        <v>211</v>
      </c>
      <c r="M93" s="29" t="str">
        <f t="shared" si="3"/>
        <v>CRITICO</v>
      </c>
    </row>
    <row r="94" ht="15.75" customHeight="1">
      <c r="B94" s="140" t="s">
        <v>452</v>
      </c>
      <c r="C94" s="149"/>
      <c r="D94" s="38"/>
      <c r="E94" s="52"/>
      <c r="F94" s="138"/>
      <c r="G94" s="38"/>
      <c r="H94" s="43"/>
      <c r="I94" s="38">
        <f t="shared" si="1"/>
        <v>0</v>
      </c>
      <c r="J94" s="25">
        <f t="shared" si="2"/>
        <v>0</v>
      </c>
      <c r="K94" s="106"/>
      <c r="L94" s="54" t="s">
        <v>211</v>
      </c>
      <c r="M94" s="29" t="str">
        <f t="shared" si="3"/>
        <v>CRITICO</v>
      </c>
    </row>
    <row r="95" ht="15.75" customHeight="1">
      <c r="B95" s="140" t="s">
        <v>452</v>
      </c>
      <c r="C95" s="149"/>
      <c r="D95" s="38"/>
      <c r="E95" s="52"/>
      <c r="F95" s="138"/>
      <c r="G95" s="38"/>
      <c r="H95" s="43"/>
      <c r="I95" s="38">
        <f t="shared" si="1"/>
        <v>0</v>
      </c>
      <c r="J95" s="25">
        <f t="shared" si="2"/>
        <v>0</v>
      </c>
      <c r="K95" s="106"/>
      <c r="L95" s="54" t="s">
        <v>211</v>
      </c>
      <c r="M95" s="29" t="str">
        <f t="shared" si="3"/>
        <v>CRITICO</v>
      </c>
    </row>
    <row r="96" ht="15.75" customHeight="1">
      <c r="B96" s="140" t="s">
        <v>452</v>
      </c>
      <c r="C96" s="149"/>
      <c r="D96" s="38"/>
      <c r="E96" s="52"/>
      <c r="F96" s="138"/>
      <c r="G96" s="38"/>
      <c r="H96" s="43"/>
      <c r="I96" s="38">
        <f t="shared" si="1"/>
        <v>0</v>
      </c>
      <c r="J96" s="25">
        <f t="shared" si="2"/>
        <v>0</v>
      </c>
      <c r="K96" s="106"/>
      <c r="L96" s="54" t="s">
        <v>211</v>
      </c>
      <c r="M96" s="29" t="str">
        <f t="shared" si="3"/>
        <v>CRITICO</v>
      </c>
    </row>
    <row r="97" ht="15.75" customHeight="1">
      <c r="B97" s="140" t="s">
        <v>452</v>
      </c>
      <c r="C97" s="149"/>
      <c r="D97" s="38"/>
      <c r="E97" s="52"/>
      <c r="F97" s="138"/>
      <c r="G97" s="38"/>
      <c r="H97" s="43"/>
      <c r="I97" s="38">
        <f t="shared" si="1"/>
        <v>0</v>
      </c>
      <c r="J97" s="25">
        <f t="shared" si="2"/>
        <v>0</v>
      </c>
      <c r="K97" s="106"/>
      <c r="L97" s="54" t="s">
        <v>211</v>
      </c>
      <c r="M97" s="29" t="str">
        <f t="shared" si="3"/>
        <v>CRITICO</v>
      </c>
    </row>
    <row r="98" ht="15.75" customHeight="1">
      <c r="B98" s="140" t="s">
        <v>452</v>
      </c>
      <c r="C98" s="149"/>
      <c r="D98" s="38"/>
      <c r="E98" s="52"/>
      <c r="F98" s="138"/>
      <c r="G98" s="38"/>
      <c r="H98" s="43"/>
      <c r="I98" s="38">
        <f t="shared" si="1"/>
        <v>0</v>
      </c>
      <c r="J98" s="25">
        <f t="shared" si="2"/>
        <v>0</v>
      </c>
      <c r="K98" s="106"/>
      <c r="L98" s="54" t="s">
        <v>211</v>
      </c>
      <c r="M98" s="29" t="str">
        <f t="shared" si="3"/>
        <v>CRITICO</v>
      </c>
    </row>
    <row r="99" ht="15.75" customHeight="1">
      <c r="B99" s="140" t="s">
        <v>452</v>
      </c>
      <c r="C99" s="149"/>
      <c r="D99" s="38"/>
      <c r="E99" s="52"/>
      <c r="F99" s="138"/>
      <c r="G99" s="38"/>
      <c r="H99" s="43"/>
      <c r="I99" s="38">
        <f t="shared" si="1"/>
        <v>0</v>
      </c>
      <c r="J99" s="25">
        <f t="shared" si="2"/>
        <v>0</v>
      </c>
      <c r="K99" s="106"/>
      <c r="L99" s="54" t="s">
        <v>211</v>
      </c>
      <c r="M99" s="29" t="str">
        <f t="shared" si="3"/>
        <v>CRITICO</v>
      </c>
    </row>
    <row r="100" ht="15.75" customHeight="1">
      <c r="B100" s="140" t="s">
        <v>452</v>
      </c>
      <c r="C100" s="149"/>
      <c r="D100" s="38"/>
      <c r="E100" s="52"/>
      <c r="F100" s="138"/>
      <c r="G100" s="38"/>
      <c r="H100" s="43"/>
      <c r="I100" s="38">
        <f t="shared" si="1"/>
        <v>0</v>
      </c>
      <c r="J100" s="25">
        <f t="shared" si="2"/>
        <v>0</v>
      </c>
      <c r="K100" s="106"/>
      <c r="L100" s="54" t="s">
        <v>211</v>
      </c>
      <c r="M100" s="29" t="str">
        <f t="shared" si="3"/>
        <v>CRITICO</v>
      </c>
    </row>
    <row r="101" ht="15.75" customHeight="1">
      <c r="B101" s="140" t="s">
        <v>452</v>
      </c>
      <c r="C101" s="149"/>
      <c r="D101" s="38"/>
      <c r="E101" s="52"/>
      <c r="F101" s="138"/>
      <c r="G101" s="38"/>
      <c r="H101" s="43"/>
      <c r="I101" s="38">
        <f t="shared" si="1"/>
        <v>0</v>
      </c>
      <c r="J101" s="25">
        <f t="shared" si="2"/>
        <v>0</v>
      </c>
      <c r="K101" s="106"/>
      <c r="L101" s="54" t="s">
        <v>211</v>
      </c>
      <c r="M101" s="29" t="str">
        <f t="shared" si="3"/>
        <v>CRITICO</v>
      </c>
    </row>
    <row r="102" ht="15.75" customHeight="1">
      <c r="B102" s="140" t="s">
        <v>452</v>
      </c>
      <c r="C102" s="149"/>
      <c r="D102" s="38"/>
      <c r="E102" s="52"/>
      <c r="F102" s="138"/>
      <c r="G102" s="38"/>
      <c r="H102" s="43"/>
      <c r="I102" s="38">
        <f t="shared" si="1"/>
        <v>0</v>
      </c>
      <c r="J102" s="25">
        <f t="shared" si="2"/>
        <v>0</v>
      </c>
      <c r="K102" s="106"/>
      <c r="L102" s="54" t="s">
        <v>211</v>
      </c>
      <c r="M102" s="29" t="str">
        <f t="shared" si="3"/>
        <v>CRITICO</v>
      </c>
    </row>
    <row r="103" ht="15.75" customHeight="1">
      <c r="B103" s="140" t="s">
        <v>452</v>
      </c>
      <c r="C103" s="149"/>
      <c r="D103" s="38"/>
      <c r="E103" s="52"/>
      <c r="F103" s="43"/>
      <c r="G103" s="38"/>
      <c r="H103" s="43"/>
      <c r="I103" s="38">
        <f t="shared" si="1"/>
        <v>0</v>
      </c>
      <c r="J103" s="25">
        <f t="shared" si="2"/>
        <v>0</v>
      </c>
      <c r="K103" s="106"/>
      <c r="L103" s="54" t="s">
        <v>211</v>
      </c>
      <c r="M103" s="29" t="str">
        <f t="shared" si="3"/>
        <v>CRITICO</v>
      </c>
    </row>
    <row r="104" ht="15.75" customHeight="1">
      <c r="B104" s="140" t="s">
        <v>452</v>
      </c>
      <c r="C104" s="149"/>
      <c r="D104" s="38"/>
      <c r="E104" s="52"/>
      <c r="F104" s="138"/>
      <c r="G104" s="38"/>
      <c r="H104" s="43"/>
      <c r="I104" s="38">
        <f t="shared" si="1"/>
        <v>0</v>
      </c>
      <c r="J104" s="25">
        <f t="shared" si="2"/>
        <v>0</v>
      </c>
      <c r="K104" s="106"/>
      <c r="L104" s="54" t="s">
        <v>211</v>
      </c>
      <c r="M104" s="29" t="str">
        <f t="shared" si="3"/>
        <v>CRITICO</v>
      </c>
    </row>
    <row r="105" ht="15.75" customHeight="1">
      <c r="B105" s="140" t="s">
        <v>452</v>
      </c>
      <c r="C105" s="149"/>
      <c r="D105" s="38"/>
      <c r="E105" s="52"/>
      <c r="F105" s="138"/>
      <c r="G105" s="38"/>
      <c r="H105" s="43"/>
      <c r="I105" s="38">
        <f t="shared" si="1"/>
        <v>0</v>
      </c>
      <c r="J105" s="25">
        <f t="shared" si="2"/>
        <v>0</v>
      </c>
      <c r="K105" s="106"/>
      <c r="L105" s="54" t="s">
        <v>211</v>
      </c>
      <c r="M105" s="29" t="str">
        <f t="shared" si="3"/>
        <v>CRITICO</v>
      </c>
    </row>
    <row r="106" ht="15.75" customHeight="1">
      <c r="B106" s="140" t="s">
        <v>452</v>
      </c>
      <c r="C106" s="149"/>
      <c r="D106" s="38"/>
      <c r="E106" s="52"/>
      <c r="F106" s="138"/>
      <c r="G106" s="38"/>
      <c r="H106" s="43"/>
      <c r="I106" s="38">
        <f t="shared" si="1"/>
        <v>0</v>
      </c>
      <c r="J106" s="25">
        <f t="shared" si="2"/>
        <v>0</v>
      </c>
      <c r="K106" s="106"/>
      <c r="L106" s="54" t="s">
        <v>211</v>
      </c>
      <c r="M106" s="29" t="str">
        <f t="shared" si="3"/>
        <v>CRITICO</v>
      </c>
    </row>
    <row r="107" ht="15.75" customHeight="1">
      <c r="B107" s="140" t="s">
        <v>452</v>
      </c>
      <c r="C107" s="149"/>
      <c r="D107" s="38"/>
      <c r="E107" s="52"/>
      <c r="F107" s="254"/>
      <c r="G107" s="38"/>
      <c r="H107" s="43"/>
      <c r="I107" s="255">
        <f t="shared" si="1"/>
        <v>0</v>
      </c>
      <c r="J107" s="25">
        <f t="shared" si="2"/>
        <v>0</v>
      </c>
      <c r="K107" s="106"/>
      <c r="L107" s="54" t="s">
        <v>211</v>
      </c>
      <c r="M107" s="29" t="str">
        <f t="shared" si="3"/>
        <v>CRITICO</v>
      </c>
    </row>
    <row r="108" ht="15.75" customHeight="1">
      <c r="B108" s="140" t="s">
        <v>452</v>
      </c>
      <c r="C108" s="149"/>
      <c r="D108" s="38"/>
      <c r="E108" s="52"/>
      <c r="F108" s="254"/>
      <c r="G108" s="38"/>
      <c r="H108" s="43"/>
      <c r="I108" s="255">
        <f t="shared" si="1"/>
        <v>0</v>
      </c>
      <c r="J108" s="25">
        <f t="shared" si="2"/>
        <v>0</v>
      </c>
      <c r="K108" s="106"/>
      <c r="L108" s="54" t="s">
        <v>211</v>
      </c>
      <c r="M108" s="29" t="str">
        <f t="shared" si="3"/>
        <v>CRITICO</v>
      </c>
    </row>
    <row r="109" ht="15.75" customHeight="1">
      <c r="B109" s="43"/>
      <c r="C109" s="149"/>
      <c r="D109" s="38"/>
      <c r="E109" s="52"/>
      <c r="F109" s="43"/>
      <c r="G109" s="38"/>
      <c r="H109" s="43"/>
      <c r="I109" s="38">
        <f t="shared" si="1"/>
        <v>0</v>
      </c>
      <c r="J109" s="25">
        <f t="shared" si="2"/>
        <v>0</v>
      </c>
      <c r="K109" s="106"/>
      <c r="L109" s="54" t="s">
        <v>211</v>
      </c>
      <c r="M109" s="29" t="str">
        <f t="shared" si="3"/>
        <v>CRITICO</v>
      </c>
    </row>
    <row r="110" ht="15.75" customHeight="1">
      <c r="B110" s="43"/>
      <c r="C110" s="149"/>
      <c r="D110" s="38"/>
      <c r="E110" s="52"/>
      <c r="F110" s="43"/>
      <c r="G110" s="38"/>
      <c r="H110" s="43"/>
      <c r="I110" s="38">
        <f t="shared" si="1"/>
        <v>0</v>
      </c>
      <c r="J110" s="25">
        <f t="shared" si="2"/>
        <v>0</v>
      </c>
      <c r="K110" s="106"/>
      <c r="L110" s="54" t="s">
        <v>211</v>
      </c>
      <c r="M110" s="29" t="str">
        <f t="shared" si="3"/>
        <v>CRITICO</v>
      </c>
    </row>
    <row r="111" ht="15.75" customHeight="1">
      <c r="B111" s="43"/>
      <c r="C111" s="149"/>
      <c r="D111" s="38"/>
      <c r="E111" s="52"/>
      <c r="F111" s="43"/>
      <c r="G111" s="38"/>
      <c r="H111" s="43"/>
      <c r="I111" s="38">
        <f t="shared" si="1"/>
        <v>0</v>
      </c>
      <c r="J111" s="25">
        <f t="shared" si="2"/>
        <v>0</v>
      </c>
      <c r="K111" s="106"/>
      <c r="L111" s="54" t="s">
        <v>211</v>
      </c>
      <c r="M111" s="29" t="str">
        <f t="shared" si="3"/>
        <v>CRITICO</v>
      </c>
    </row>
    <row r="112" ht="15.75" customHeight="1">
      <c r="B112" s="140" t="s">
        <v>452</v>
      </c>
      <c r="C112" s="149"/>
      <c r="D112" s="38"/>
      <c r="E112" s="52"/>
      <c r="F112" s="138"/>
      <c r="G112" s="38"/>
      <c r="H112" s="43"/>
      <c r="I112" s="38">
        <f t="shared" si="1"/>
        <v>0</v>
      </c>
      <c r="J112" s="25">
        <f t="shared" si="2"/>
        <v>0</v>
      </c>
      <c r="K112" s="106"/>
      <c r="L112" s="54" t="s">
        <v>211</v>
      </c>
      <c r="M112" s="29" t="str">
        <f t="shared" si="3"/>
        <v>CRITICO</v>
      </c>
    </row>
    <row r="113" ht="15.75" customHeight="1">
      <c r="B113" s="140" t="s">
        <v>452</v>
      </c>
      <c r="C113" s="149"/>
      <c r="D113" s="38"/>
      <c r="E113" s="52"/>
      <c r="F113" s="138"/>
      <c r="G113" s="38"/>
      <c r="H113" s="43"/>
      <c r="I113" s="38">
        <f t="shared" si="1"/>
        <v>0</v>
      </c>
      <c r="J113" s="25">
        <f t="shared" si="2"/>
        <v>0</v>
      </c>
      <c r="K113" s="106"/>
      <c r="L113" s="54" t="s">
        <v>211</v>
      </c>
      <c r="M113" s="29" t="str">
        <f t="shared" si="3"/>
        <v>CRITICO</v>
      </c>
    </row>
    <row r="114" ht="15.75" customHeight="1">
      <c r="B114" s="140" t="s">
        <v>452</v>
      </c>
      <c r="C114" s="149"/>
      <c r="D114" s="38"/>
      <c r="E114" s="52"/>
      <c r="F114" s="138"/>
      <c r="G114" s="38"/>
      <c r="H114" s="43"/>
      <c r="I114" s="38">
        <f t="shared" si="1"/>
        <v>0</v>
      </c>
      <c r="J114" s="25">
        <f t="shared" si="2"/>
        <v>0</v>
      </c>
      <c r="K114" s="106"/>
      <c r="L114" s="54" t="s">
        <v>211</v>
      </c>
      <c r="M114" s="29" t="str">
        <f t="shared" si="3"/>
        <v>CRITICO</v>
      </c>
    </row>
    <row r="115" ht="15.75" customHeight="1">
      <c r="B115" s="140" t="s">
        <v>452</v>
      </c>
      <c r="C115" s="149"/>
      <c r="D115" s="38"/>
      <c r="E115" s="52"/>
      <c r="F115" s="138"/>
      <c r="G115" s="38"/>
      <c r="H115" s="43"/>
      <c r="I115" s="38">
        <f t="shared" si="1"/>
        <v>0</v>
      </c>
      <c r="J115" s="25">
        <f t="shared" si="2"/>
        <v>0</v>
      </c>
      <c r="K115" s="106"/>
      <c r="L115" s="54" t="s">
        <v>211</v>
      </c>
      <c r="M115" s="29" t="str">
        <f t="shared" si="3"/>
        <v>CRITICO</v>
      </c>
    </row>
    <row r="116" ht="15.75" customHeight="1">
      <c r="B116" s="43"/>
      <c r="C116" s="149"/>
      <c r="D116" s="38"/>
      <c r="E116" s="52"/>
      <c r="F116" s="43"/>
      <c r="G116" s="38"/>
      <c r="H116" s="43"/>
      <c r="I116" s="38">
        <f t="shared" si="1"/>
        <v>0</v>
      </c>
      <c r="J116" s="25">
        <f t="shared" si="2"/>
        <v>0</v>
      </c>
      <c r="K116" s="38" t="s">
        <v>552</v>
      </c>
      <c r="L116" s="54" t="s">
        <v>211</v>
      </c>
      <c r="M116" s="29" t="str">
        <f t="shared" si="3"/>
        <v>CRITICO</v>
      </c>
    </row>
    <row r="117" ht="15.75" customHeight="1">
      <c r="B117" s="43"/>
      <c r="C117" s="149"/>
      <c r="D117" s="38"/>
      <c r="E117" s="52"/>
      <c r="F117" s="43"/>
      <c r="G117" s="38"/>
      <c r="H117" s="43"/>
      <c r="I117" s="38">
        <f t="shared" si="1"/>
        <v>0</v>
      </c>
      <c r="J117" s="25">
        <f t="shared" si="2"/>
        <v>0</v>
      </c>
      <c r="K117" s="38"/>
      <c r="L117" s="54" t="s">
        <v>211</v>
      </c>
      <c r="M117" s="29" t="str">
        <f t="shared" si="3"/>
        <v>CRITICO</v>
      </c>
    </row>
    <row r="118" ht="15.75" customHeight="1">
      <c r="B118" s="140" t="s">
        <v>452</v>
      </c>
      <c r="C118" s="149"/>
      <c r="D118" s="38"/>
      <c r="E118" s="52"/>
      <c r="F118" s="43"/>
      <c r="G118" s="38"/>
      <c r="H118" s="43"/>
      <c r="I118" s="38">
        <f t="shared" si="1"/>
        <v>0</v>
      </c>
      <c r="J118" s="25">
        <f t="shared" si="2"/>
        <v>0</v>
      </c>
      <c r="K118" s="38"/>
      <c r="L118" s="54" t="s">
        <v>211</v>
      </c>
      <c r="M118" s="29" t="str">
        <f t="shared" si="3"/>
        <v>CRITICO</v>
      </c>
    </row>
    <row r="119" ht="15.75" customHeight="1">
      <c r="B119" s="140" t="s">
        <v>452</v>
      </c>
      <c r="C119" s="149"/>
      <c r="D119" s="38"/>
      <c r="E119" s="52"/>
      <c r="F119" s="138"/>
      <c r="G119" s="38"/>
      <c r="H119" s="43"/>
      <c r="I119" s="38">
        <f t="shared" si="1"/>
        <v>0</v>
      </c>
      <c r="J119" s="25">
        <f t="shared" si="2"/>
        <v>0</v>
      </c>
      <c r="K119" s="38"/>
      <c r="L119" s="54" t="s">
        <v>211</v>
      </c>
      <c r="M119" s="29" t="str">
        <f t="shared" si="3"/>
        <v>CRITICO</v>
      </c>
    </row>
    <row r="120" ht="15.75" customHeight="1">
      <c r="B120" s="140" t="s">
        <v>452</v>
      </c>
      <c r="C120" s="149"/>
      <c r="D120" s="38"/>
      <c r="E120" s="52"/>
      <c r="F120" s="43"/>
      <c r="G120" s="38"/>
      <c r="H120" s="43"/>
      <c r="I120" s="38">
        <f t="shared" si="1"/>
        <v>0</v>
      </c>
      <c r="J120" s="25">
        <f t="shared" si="2"/>
        <v>0</v>
      </c>
      <c r="K120" s="38"/>
      <c r="L120" s="54" t="s">
        <v>211</v>
      </c>
      <c r="M120" s="29" t="str">
        <f t="shared" si="3"/>
        <v>CRITICO</v>
      </c>
    </row>
    <row r="121" ht="15.75" customHeight="1">
      <c r="B121" s="140" t="s">
        <v>452</v>
      </c>
      <c r="C121" s="149"/>
      <c r="D121" s="38"/>
      <c r="E121" s="52"/>
      <c r="F121" s="138"/>
      <c r="G121" s="38"/>
      <c r="H121" s="43"/>
      <c r="I121" s="38">
        <f t="shared" si="1"/>
        <v>0</v>
      </c>
      <c r="J121" s="25">
        <f t="shared" si="2"/>
        <v>0</v>
      </c>
      <c r="K121" s="38"/>
      <c r="L121" s="54" t="s">
        <v>211</v>
      </c>
      <c r="M121" s="29" t="str">
        <f t="shared" si="3"/>
        <v>CRITICO</v>
      </c>
    </row>
    <row r="122" ht="15.75" customHeight="1">
      <c r="B122" s="140" t="s">
        <v>452</v>
      </c>
      <c r="C122" s="149"/>
      <c r="D122" s="38"/>
      <c r="E122" s="52"/>
      <c r="F122" s="138"/>
      <c r="G122" s="38"/>
      <c r="H122" s="43"/>
      <c r="I122" s="38">
        <f t="shared" si="1"/>
        <v>0</v>
      </c>
      <c r="J122" s="25">
        <f t="shared" si="2"/>
        <v>0</v>
      </c>
      <c r="K122" s="38"/>
      <c r="L122" s="54" t="s">
        <v>211</v>
      </c>
      <c r="M122" s="29" t="str">
        <f t="shared" si="3"/>
        <v>CRITICO</v>
      </c>
    </row>
    <row r="123" ht="15.75" customHeight="1">
      <c r="B123" s="140" t="s">
        <v>452</v>
      </c>
      <c r="C123" s="149"/>
      <c r="D123" s="38"/>
      <c r="E123" s="52"/>
      <c r="F123" s="138"/>
      <c r="G123" s="38"/>
      <c r="H123" s="43"/>
      <c r="I123" s="38">
        <f t="shared" si="1"/>
        <v>0</v>
      </c>
      <c r="J123" s="25">
        <f t="shared" si="2"/>
        <v>0</v>
      </c>
      <c r="K123" s="38"/>
      <c r="L123" s="54" t="s">
        <v>211</v>
      </c>
      <c r="M123" s="29" t="str">
        <f t="shared" si="3"/>
        <v>CRITICO</v>
      </c>
    </row>
    <row r="124" ht="15.75" customHeight="1">
      <c r="B124" s="140" t="s">
        <v>452</v>
      </c>
      <c r="C124" s="149"/>
      <c r="D124" s="38"/>
      <c r="E124" s="52"/>
      <c r="F124" s="138"/>
      <c r="G124" s="38"/>
      <c r="H124" s="43"/>
      <c r="I124" s="38">
        <f t="shared" si="1"/>
        <v>0</v>
      </c>
      <c r="J124" s="25">
        <f t="shared" si="2"/>
        <v>0</v>
      </c>
      <c r="K124" s="38"/>
      <c r="L124" s="54" t="s">
        <v>211</v>
      </c>
      <c r="M124" s="29" t="str">
        <f t="shared" si="3"/>
        <v>CRITICO</v>
      </c>
    </row>
    <row r="125" ht="15.75" customHeight="1">
      <c r="B125" s="140" t="s">
        <v>452</v>
      </c>
      <c r="C125" s="149"/>
      <c r="D125" s="38"/>
      <c r="E125" s="52"/>
      <c r="F125" s="138"/>
      <c r="G125" s="38"/>
      <c r="H125" s="43"/>
      <c r="I125" s="38">
        <f t="shared" si="1"/>
        <v>0</v>
      </c>
      <c r="J125" s="25">
        <f t="shared" si="2"/>
        <v>0</v>
      </c>
      <c r="K125" s="38"/>
      <c r="L125" s="54" t="s">
        <v>211</v>
      </c>
      <c r="M125" s="29" t="str">
        <f t="shared" si="3"/>
        <v>CRITICO</v>
      </c>
    </row>
    <row r="126" ht="15.75" customHeight="1">
      <c r="B126" s="140" t="s">
        <v>452</v>
      </c>
      <c r="C126" s="149"/>
      <c r="D126" s="38"/>
      <c r="E126" s="52"/>
      <c r="F126" s="138"/>
      <c r="G126" s="38"/>
      <c r="H126" s="43"/>
      <c r="I126" s="38">
        <f t="shared" si="1"/>
        <v>0</v>
      </c>
      <c r="J126" s="25">
        <f t="shared" si="2"/>
        <v>0</v>
      </c>
      <c r="K126" s="38"/>
      <c r="L126" s="54" t="s">
        <v>211</v>
      </c>
      <c r="M126" s="29" t="str">
        <f t="shared" si="3"/>
        <v>CRITICO</v>
      </c>
    </row>
    <row r="127" ht="15.75" customHeight="1">
      <c r="B127" s="140" t="s">
        <v>452</v>
      </c>
      <c r="C127" s="149"/>
      <c r="D127" s="38"/>
      <c r="E127" s="52"/>
      <c r="F127" s="43"/>
      <c r="G127" s="38"/>
      <c r="H127" s="43"/>
      <c r="I127" s="38">
        <f t="shared" si="1"/>
        <v>0</v>
      </c>
      <c r="J127" s="25">
        <f t="shared" si="2"/>
        <v>0</v>
      </c>
      <c r="K127" s="38"/>
      <c r="L127" s="54" t="s">
        <v>211</v>
      </c>
      <c r="M127" s="29" t="str">
        <f t="shared" si="3"/>
        <v>CRITICO</v>
      </c>
    </row>
    <row r="128" ht="15.75" customHeight="1">
      <c r="B128" s="140" t="s">
        <v>452</v>
      </c>
      <c r="C128" s="149"/>
      <c r="D128" s="38"/>
      <c r="E128" s="52"/>
      <c r="F128" s="138"/>
      <c r="G128" s="38"/>
      <c r="H128" s="43"/>
      <c r="I128" s="38">
        <f t="shared" si="1"/>
        <v>0</v>
      </c>
      <c r="J128" s="25">
        <f t="shared" si="2"/>
        <v>0</v>
      </c>
      <c r="K128" s="38"/>
      <c r="L128" s="54" t="s">
        <v>211</v>
      </c>
      <c r="M128" s="29" t="str">
        <f t="shared" si="3"/>
        <v>CRITICO</v>
      </c>
    </row>
    <row r="129" ht="15.75" customHeight="1">
      <c r="B129" s="140" t="s">
        <v>452</v>
      </c>
      <c r="C129" s="149"/>
      <c r="D129" s="38"/>
      <c r="E129" s="52"/>
      <c r="F129" s="138"/>
      <c r="G129" s="38"/>
      <c r="H129" s="43"/>
      <c r="I129" s="38">
        <f t="shared" si="1"/>
        <v>0</v>
      </c>
      <c r="J129" s="25">
        <f t="shared" si="2"/>
        <v>0</v>
      </c>
      <c r="K129" s="38"/>
      <c r="L129" s="54" t="s">
        <v>211</v>
      </c>
      <c r="M129" s="29" t="str">
        <f t="shared" si="3"/>
        <v>CRITICO</v>
      </c>
    </row>
    <row r="130" ht="15.75" customHeight="1">
      <c r="B130" s="140" t="s">
        <v>452</v>
      </c>
      <c r="C130" s="149"/>
      <c r="D130" s="38"/>
      <c r="E130" s="52"/>
      <c r="F130" s="138"/>
      <c r="G130" s="38"/>
      <c r="H130" s="43"/>
      <c r="I130" s="38">
        <f t="shared" si="1"/>
        <v>0</v>
      </c>
      <c r="J130" s="25">
        <f t="shared" si="2"/>
        <v>0</v>
      </c>
      <c r="K130" s="38"/>
      <c r="L130" s="54" t="s">
        <v>211</v>
      </c>
      <c r="M130" s="29" t="str">
        <f t="shared" si="3"/>
        <v>CRITICO</v>
      </c>
    </row>
    <row r="131" ht="15.75" customHeight="1">
      <c r="B131" s="140" t="s">
        <v>452</v>
      </c>
      <c r="C131" s="149"/>
      <c r="D131" s="38"/>
      <c r="E131" s="52"/>
      <c r="F131" s="138"/>
      <c r="G131" s="38"/>
      <c r="H131" s="43"/>
      <c r="I131" s="38">
        <f t="shared" si="1"/>
        <v>0</v>
      </c>
      <c r="J131" s="25">
        <f t="shared" si="2"/>
        <v>0</v>
      </c>
      <c r="K131" s="38"/>
      <c r="L131" s="54" t="s">
        <v>211</v>
      </c>
      <c r="M131" s="29" t="str">
        <f t="shared" si="3"/>
        <v>CRITICO</v>
      </c>
    </row>
    <row r="132" ht="15.75" customHeight="1">
      <c r="B132" s="140" t="s">
        <v>452</v>
      </c>
      <c r="C132" s="149"/>
      <c r="D132" s="38"/>
      <c r="E132" s="52"/>
      <c r="F132" s="43"/>
      <c r="G132" s="38"/>
      <c r="H132" s="43"/>
      <c r="I132" s="38">
        <f t="shared" si="1"/>
        <v>0</v>
      </c>
      <c r="J132" s="25">
        <f t="shared" si="2"/>
        <v>0</v>
      </c>
      <c r="K132" s="38" t="s">
        <v>552</v>
      </c>
      <c r="L132" s="54" t="s">
        <v>211</v>
      </c>
      <c r="M132" s="29" t="str">
        <f t="shared" si="3"/>
        <v>CRITICO</v>
      </c>
    </row>
    <row r="133" ht="15.75" customHeight="1">
      <c r="B133" s="140" t="s">
        <v>452</v>
      </c>
      <c r="C133" s="149"/>
      <c r="D133" s="38"/>
      <c r="E133" s="52"/>
      <c r="F133" s="138"/>
      <c r="G133" s="38"/>
      <c r="H133" s="43"/>
      <c r="I133" s="38">
        <f t="shared" si="1"/>
        <v>0</v>
      </c>
      <c r="J133" s="25">
        <f t="shared" si="2"/>
        <v>0</v>
      </c>
      <c r="K133" s="38"/>
      <c r="L133" s="54" t="s">
        <v>211</v>
      </c>
      <c r="M133" s="29" t="str">
        <f t="shared" si="3"/>
        <v>CRITICO</v>
      </c>
    </row>
    <row r="134" ht="15.75" customHeight="1">
      <c r="B134" s="140" t="s">
        <v>452</v>
      </c>
      <c r="C134" s="149"/>
      <c r="D134" s="38"/>
      <c r="E134" s="52"/>
      <c r="F134" s="138"/>
      <c r="G134" s="38"/>
      <c r="H134" s="43"/>
      <c r="I134" s="38">
        <f t="shared" si="1"/>
        <v>0</v>
      </c>
      <c r="J134" s="25">
        <f t="shared" si="2"/>
        <v>0</v>
      </c>
      <c r="K134" s="38"/>
      <c r="L134" s="54" t="s">
        <v>211</v>
      </c>
      <c r="M134" s="29" t="str">
        <f t="shared" si="3"/>
        <v>CRITICO</v>
      </c>
    </row>
    <row r="135" ht="15.75" customHeight="1">
      <c r="B135" s="140" t="s">
        <v>452</v>
      </c>
      <c r="C135" s="149"/>
      <c r="D135" s="38"/>
      <c r="E135" s="52"/>
      <c r="F135" s="138"/>
      <c r="G135" s="38"/>
      <c r="H135" s="43"/>
      <c r="I135" s="38">
        <f t="shared" si="1"/>
        <v>0</v>
      </c>
      <c r="J135" s="25">
        <f t="shared" si="2"/>
        <v>0</v>
      </c>
      <c r="K135" s="38"/>
      <c r="L135" s="54" t="s">
        <v>211</v>
      </c>
      <c r="M135" s="29" t="str">
        <f t="shared" si="3"/>
        <v>CRITICO</v>
      </c>
    </row>
    <row r="136" ht="15.75" customHeight="1">
      <c r="B136" s="140" t="s">
        <v>558</v>
      </c>
      <c r="C136" s="149"/>
      <c r="D136" s="38"/>
      <c r="E136" s="52"/>
      <c r="F136" s="138"/>
      <c r="G136" s="38"/>
      <c r="H136" s="43"/>
      <c r="I136" s="38">
        <f t="shared" si="1"/>
        <v>0</v>
      </c>
      <c r="J136" s="25">
        <f t="shared" si="2"/>
        <v>0</v>
      </c>
      <c r="K136" s="38"/>
      <c r="L136" s="54" t="s">
        <v>211</v>
      </c>
      <c r="M136" s="29" t="str">
        <f t="shared" si="3"/>
        <v>CRITICO</v>
      </c>
    </row>
    <row r="137" ht="15.75" customHeight="1">
      <c r="B137" s="140" t="s">
        <v>452</v>
      </c>
      <c r="C137" s="149"/>
      <c r="D137" s="38"/>
      <c r="E137" s="52"/>
      <c r="F137" s="138"/>
      <c r="G137" s="38"/>
      <c r="H137" s="43"/>
      <c r="I137" s="38">
        <f t="shared" si="1"/>
        <v>0</v>
      </c>
      <c r="J137" s="25">
        <f t="shared" si="2"/>
        <v>0</v>
      </c>
      <c r="K137" s="38"/>
      <c r="L137" s="54" t="s">
        <v>211</v>
      </c>
      <c r="M137" s="29" t="str">
        <f t="shared" si="3"/>
        <v>CRITICO</v>
      </c>
    </row>
    <row r="138" ht="15.75" customHeight="1">
      <c r="B138" s="140" t="s">
        <v>452</v>
      </c>
      <c r="C138" s="149"/>
      <c r="D138" s="38"/>
      <c r="E138" s="52"/>
      <c r="F138" s="138"/>
      <c r="G138" s="38"/>
      <c r="H138" s="43"/>
      <c r="I138" s="38">
        <f t="shared" si="1"/>
        <v>0</v>
      </c>
      <c r="J138" s="25">
        <f t="shared" si="2"/>
        <v>0</v>
      </c>
      <c r="K138" s="38"/>
      <c r="L138" s="54" t="s">
        <v>211</v>
      </c>
      <c r="M138" s="29" t="str">
        <f t="shared" si="3"/>
        <v>CRITICO</v>
      </c>
    </row>
    <row r="139" ht="15.75" customHeight="1">
      <c r="B139" s="140" t="s">
        <v>452</v>
      </c>
      <c r="C139" s="149"/>
      <c r="D139" s="38"/>
      <c r="E139" s="52"/>
      <c r="F139" s="138"/>
      <c r="G139" s="38"/>
      <c r="H139" s="43"/>
      <c r="I139" s="38">
        <f t="shared" si="1"/>
        <v>0</v>
      </c>
      <c r="J139" s="25">
        <f t="shared" si="2"/>
        <v>0</v>
      </c>
      <c r="K139" s="38"/>
      <c r="L139" s="54" t="s">
        <v>211</v>
      </c>
      <c r="M139" s="29" t="str">
        <f t="shared" si="3"/>
        <v>CRITICO</v>
      </c>
    </row>
    <row r="140" ht="15.75" customHeight="1">
      <c r="B140" s="140" t="s">
        <v>452</v>
      </c>
      <c r="C140" s="149"/>
      <c r="D140" s="38"/>
      <c r="E140" s="52"/>
      <c r="F140" s="138"/>
      <c r="G140" s="38"/>
      <c r="H140" s="43"/>
      <c r="I140" s="38">
        <f t="shared" si="1"/>
        <v>0</v>
      </c>
      <c r="J140" s="25">
        <f t="shared" si="2"/>
        <v>0</v>
      </c>
      <c r="K140" s="38"/>
      <c r="L140" s="54" t="s">
        <v>211</v>
      </c>
      <c r="M140" s="29" t="str">
        <f t="shared" si="3"/>
        <v>CRITICO</v>
      </c>
    </row>
    <row r="141" ht="15.75" customHeight="1">
      <c r="B141" s="140" t="s">
        <v>452</v>
      </c>
      <c r="C141" s="149"/>
      <c r="D141" s="38"/>
      <c r="E141" s="52"/>
      <c r="F141" s="138"/>
      <c r="G141" s="38"/>
      <c r="H141" s="43"/>
      <c r="I141" s="38">
        <f t="shared" si="1"/>
        <v>0</v>
      </c>
      <c r="J141" s="25">
        <f t="shared" si="2"/>
        <v>0</v>
      </c>
      <c r="K141" s="38"/>
      <c r="L141" s="54" t="s">
        <v>211</v>
      </c>
      <c r="M141" s="29" t="str">
        <f t="shared" si="3"/>
        <v>CRITICO</v>
      </c>
    </row>
    <row r="142" ht="15.75" customHeight="1">
      <c r="B142" s="140" t="s">
        <v>452</v>
      </c>
      <c r="C142" s="149"/>
      <c r="D142" s="38"/>
      <c r="E142" s="52"/>
      <c r="F142" s="138"/>
      <c r="G142" s="38"/>
      <c r="H142" s="43"/>
      <c r="I142" s="38">
        <f t="shared" si="1"/>
        <v>0</v>
      </c>
      <c r="J142" s="25">
        <f t="shared" si="2"/>
        <v>0</v>
      </c>
      <c r="K142" s="38"/>
      <c r="L142" s="54" t="s">
        <v>211</v>
      </c>
      <c r="M142" s="29" t="str">
        <f t="shared" si="3"/>
        <v>CRITICO</v>
      </c>
    </row>
    <row r="143" ht="15.75" customHeight="1">
      <c r="B143" s="140" t="s">
        <v>452</v>
      </c>
      <c r="C143" s="149"/>
      <c r="D143" s="38"/>
      <c r="E143" s="52"/>
      <c r="F143" s="138"/>
      <c r="G143" s="38"/>
      <c r="H143" s="43"/>
      <c r="I143" s="38">
        <f t="shared" si="1"/>
        <v>0</v>
      </c>
      <c r="J143" s="25">
        <f t="shared" si="2"/>
        <v>0</v>
      </c>
      <c r="K143" s="38"/>
      <c r="L143" s="54" t="s">
        <v>211</v>
      </c>
      <c r="M143" s="29" t="str">
        <f t="shared" si="3"/>
        <v>CRITICO</v>
      </c>
    </row>
    <row r="144" ht="15.75" customHeight="1">
      <c r="B144" s="140" t="s">
        <v>452</v>
      </c>
      <c r="C144" s="149"/>
      <c r="D144" s="38"/>
      <c r="E144" s="52"/>
      <c r="F144" s="138"/>
      <c r="G144" s="38"/>
      <c r="H144" s="43"/>
      <c r="I144" s="38">
        <f t="shared" si="1"/>
        <v>0</v>
      </c>
      <c r="J144" s="25">
        <f t="shared" si="2"/>
        <v>0</v>
      </c>
      <c r="K144" s="38"/>
      <c r="L144" s="54" t="s">
        <v>211</v>
      </c>
      <c r="M144" s="29" t="str">
        <f t="shared" si="3"/>
        <v>CRITICO</v>
      </c>
    </row>
    <row r="145" ht="15.75" customHeight="1">
      <c r="B145" s="140" t="s">
        <v>452</v>
      </c>
      <c r="C145" s="149"/>
      <c r="D145" s="38"/>
      <c r="E145" s="52"/>
      <c r="F145" s="138"/>
      <c r="G145" s="38"/>
      <c r="H145" s="43"/>
      <c r="I145" s="38">
        <f t="shared" si="1"/>
        <v>0</v>
      </c>
      <c r="J145" s="25">
        <f t="shared" si="2"/>
        <v>0</v>
      </c>
      <c r="K145" s="38"/>
      <c r="L145" s="54" t="s">
        <v>211</v>
      </c>
      <c r="M145" s="29" t="str">
        <f t="shared" si="3"/>
        <v>CRITICO</v>
      </c>
    </row>
    <row r="146" ht="15.75" customHeight="1">
      <c r="B146" s="140" t="s">
        <v>452</v>
      </c>
      <c r="C146" s="149"/>
      <c r="D146" s="38"/>
      <c r="E146" s="52"/>
      <c r="F146" s="138"/>
      <c r="G146" s="38"/>
      <c r="H146" s="43"/>
      <c r="I146" s="38">
        <f t="shared" si="1"/>
        <v>0</v>
      </c>
      <c r="J146" s="25">
        <f t="shared" si="2"/>
        <v>0</v>
      </c>
      <c r="K146" s="38"/>
      <c r="L146" s="54" t="s">
        <v>211</v>
      </c>
      <c r="M146" s="29" t="str">
        <f t="shared" si="3"/>
        <v>CRITICO</v>
      </c>
    </row>
    <row r="147" ht="15.75" customHeight="1">
      <c r="B147" s="140" t="s">
        <v>452</v>
      </c>
      <c r="C147" s="149"/>
      <c r="D147" s="38"/>
      <c r="E147" s="52"/>
      <c r="F147" s="138"/>
      <c r="G147" s="38"/>
      <c r="H147" s="43"/>
      <c r="I147" s="38">
        <f t="shared" si="1"/>
        <v>0</v>
      </c>
      <c r="J147" s="25">
        <f t="shared" si="2"/>
        <v>0</v>
      </c>
      <c r="K147" s="38"/>
      <c r="L147" s="54" t="s">
        <v>211</v>
      </c>
      <c r="M147" s="29" t="str">
        <f t="shared" si="3"/>
        <v>CRITICO</v>
      </c>
    </row>
    <row r="148" ht="15.75" customHeight="1">
      <c r="B148" s="140" t="s">
        <v>452</v>
      </c>
      <c r="C148" s="149"/>
      <c r="D148" s="38"/>
      <c r="E148" s="52"/>
      <c r="F148" s="138"/>
      <c r="G148" s="38"/>
      <c r="H148" s="43"/>
      <c r="I148" s="38">
        <f t="shared" si="1"/>
        <v>0</v>
      </c>
      <c r="J148" s="25">
        <f t="shared" si="2"/>
        <v>0</v>
      </c>
      <c r="K148" s="38"/>
      <c r="L148" s="54" t="s">
        <v>211</v>
      </c>
      <c r="M148" s="29" t="str">
        <f t="shared" si="3"/>
        <v>CRITICO</v>
      </c>
    </row>
    <row r="149" ht="15.75" customHeight="1">
      <c r="B149" s="140" t="s">
        <v>452</v>
      </c>
      <c r="C149" s="149"/>
      <c r="D149" s="38"/>
      <c r="E149" s="52"/>
      <c r="F149" s="138"/>
      <c r="G149" s="38"/>
      <c r="H149" s="43"/>
      <c r="I149" s="38">
        <f t="shared" si="1"/>
        <v>0</v>
      </c>
      <c r="J149" s="25">
        <f t="shared" si="2"/>
        <v>0</v>
      </c>
      <c r="K149" s="38"/>
      <c r="L149" s="54" t="s">
        <v>211</v>
      </c>
      <c r="M149" s="29" t="str">
        <f t="shared" si="3"/>
        <v>CRITICO</v>
      </c>
    </row>
    <row r="150" ht="15.75" customHeight="1">
      <c r="B150" s="140" t="s">
        <v>452</v>
      </c>
      <c r="C150" s="149"/>
      <c r="D150" s="38"/>
      <c r="E150" s="52"/>
      <c r="F150" s="138"/>
      <c r="G150" s="38"/>
      <c r="H150" s="43"/>
      <c r="I150" s="38">
        <f t="shared" si="1"/>
        <v>0</v>
      </c>
      <c r="J150" s="25">
        <f t="shared" si="2"/>
        <v>0</v>
      </c>
      <c r="K150" s="38"/>
      <c r="L150" s="54" t="s">
        <v>211</v>
      </c>
      <c r="M150" s="29" t="str">
        <f t="shared" si="3"/>
        <v>CRITICO</v>
      </c>
    </row>
    <row r="151" ht="15.75" customHeight="1">
      <c r="B151" s="140" t="s">
        <v>452</v>
      </c>
      <c r="C151" s="149"/>
      <c r="D151" s="38"/>
      <c r="E151" s="52"/>
      <c r="F151" s="138"/>
      <c r="G151" s="38"/>
      <c r="H151" s="43"/>
      <c r="I151" s="38">
        <f t="shared" si="1"/>
        <v>0</v>
      </c>
      <c r="J151" s="25">
        <f t="shared" si="2"/>
        <v>0</v>
      </c>
      <c r="K151" s="38"/>
      <c r="L151" s="54" t="s">
        <v>211</v>
      </c>
      <c r="M151" s="29" t="str">
        <f t="shared" si="3"/>
        <v>CRITICO</v>
      </c>
    </row>
    <row r="152" ht="15.75" customHeight="1">
      <c r="B152" s="140" t="s">
        <v>452</v>
      </c>
      <c r="C152" s="149"/>
      <c r="D152" s="38"/>
      <c r="E152" s="52"/>
      <c r="F152" s="138"/>
      <c r="G152" s="38"/>
      <c r="H152" s="43"/>
      <c r="I152" s="38">
        <f t="shared" si="1"/>
        <v>0</v>
      </c>
      <c r="J152" s="25">
        <f t="shared" si="2"/>
        <v>0</v>
      </c>
      <c r="K152" s="38"/>
      <c r="L152" s="54" t="s">
        <v>211</v>
      </c>
      <c r="M152" s="29" t="str">
        <f t="shared" si="3"/>
        <v>CRITICO</v>
      </c>
    </row>
    <row r="153" ht="15.75" customHeight="1">
      <c r="B153" s="140" t="s">
        <v>452</v>
      </c>
      <c r="C153" s="149"/>
      <c r="D153" s="38"/>
      <c r="E153" s="52"/>
      <c r="F153" s="138"/>
      <c r="G153" s="38"/>
      <c r="H153" s="43"/>
      <c r="I153" s="38">
        <f t="shared" si="1"/>
        <v>0</v>
      </c>
      <c r="J153" s="25">
        <f t="shared" si="2"/>
        <v>0</v>
      </c>
      <c r="K153" s="38"/>
      <c r="L153" s="54" t="s">
        <v>211</v>
      </c>
      <c r="M153" s="29" t="str">
        <f t="shared" si="3"/>
        <v>CRITICO</v>
      </c>
    </row>
    <row r="154" ht="15.75" customHeight="1">
      <c r="B154" s="140" t="s">
        <v>452</v>
      </c>
      <c r="C154" s="149"/>
      <c r="D154" s="38"/>
      <c r="E154" s="52"/>
      <c r="F154" s="138"/>
      <c r="G154" s="38"/>
      <c r="H154" s="43"/>
      <c r="I154" s="38">
        <f t="shared" si="1"/>
        <v>0</v>
      </c>
      <c r="J154" s="25">
        <f t="shared" si="2"/>
        <v>0</v>
      </c>
      <c r="K154" s="38"/>
      <c r="L154" s="54" t="s">
        <v>211</v>
      </c>
      <c r="M154" s="29" t="str">
        <f t="shared" si="3"/>
        <v>CRITICO</v>
      </c>
    </row>
    <row r="155" ht="15.75" customHeight="1">
      <c r="B155" s="140" t="s">
        <v>452</v>
      </c>
      <c r="C155" s="149"/>
      <c r="D155" s="38"/>
      <c r="E155" s="52"/>
      <c r="F155" s="138"/>
      <c r="G155" s="38"/>
      <c r="H155" s="43"/>
      <c r="I155" s="38">
        <f t="shared" si="1"/>
        <v>0</v>
      </c>
      <c r="J155" s="25">
        <f t="shared" si="2"/>
        <v>0</v>
      </c>
      <c r="K155" s="38"/>
      <c r="L155" s="54" t="s">
        <v>211</v>
      </c>
      <c r="M155" s="29" t="str">
        <f t="shared" si="3"/>
        <v>CRITICO</v>
      </c>
    </row>
    <row r="156" ht="15.75" customHeight="1">
      <c r="B156" s="140" t="s">
        <v>452</v>
      </c>
      <c r="C156" s="149"/>
      <c r="D156" s="38"/>
      <c r="E156" s="52"/>
      <c r="F156" s="138"/>
      <c r="G156" s="38"/>
      <c r="H156" s="43"/>
      <c r="I156" s="38">
        <f t="shared" si="1"/>
        <v>0</v>
      </c>
      <c r="J156" s="25">
        <f t="shared" si="2"/>
        <v>0</v>
      </c>
      <c r="K156" s="38"/>
      <c r="L156" s="54" t="s">
        <v>211</v>
      </c>
      <c r="M156" s="29" t="str">
        <f t="shared" si="3"/>
        <v>CRITICO</v>
      </c>
    </row>
    <row r="157" ht="15.75" customHeight="1">
      <c r="B157" s="140" t="s">
        <v>452</v>
      </c>
      <c r="C157" s="149"/>
      <c r="D157" s="38"/>
      <c r="E157" s="52"/>
      <c r="F157" s="138"/>
      <c r="G157" s="38"/>
      <c r="H157" s="138"/>
      <c r="I157" s="38">
        <f t="shared" si="1"/>
        <v>0</v>
      </c>
      <c r="J157" s="25">
        <f t="shared" si="2"/>
        <v>0</v>
      </c>
      <c r="K157" s="38"/>
      <c r="L157" s="54" t="s">
        <v>211</v>
      </c>
      <c r="M157" s="29" t="str">
        <f t="shared" si="3"/>
        <v>CRITICO</v>
      </c>
    </row>
    <row r="158" ht="15.75" customHeight="1">
      <c r="B158" s="140" t="s">
        <v>452</v>
      </c>
      <c r="C158" s="149"/>
      <c r="D158" s="38"/>
      <c r="E158" s="52"/>
      <c r="F158" s="138"/>
      <c r="G158" s="38"/>
      <c r="H158" s="43"/>
      <c r="I158" s="38">
        <f t="shared" si="1"/>
        <v>0</v>
      </c>
      <c r="J158" s="25">
        <f t="shared" si="2"/>
        <v>0</v>
      </c>
      <c r="K158" s="38"/>
      <c r="L158" s="54" t="s">
        <v>211</v>
      </c>
      <c r="M158" s="29" t="str">
        <f t="shared" si="3"/>
        <v>CRITICO</v>
      </c>
    </row>
    <row r="159" ht="15.75" customHeight="1">
      <c r="B159" s="140" t="s">
        <v>452</v>
      </c>
      <c r="C159" s="149"/>
      <c r="D159" s="38"/>
      <c r="E159" s="52"/>
      <c r="F159" s="138"/>
      <c r="G159" s="38"/>
      <c r="H159" s="43"/>
      <c r="I159" s="38">
        <f t="shared" si="1"/>
        <v>0</v>
      </c>
      <c r="J159" s="25">
        <f t="shared" si="2"/>
        <v>0</v>
      </c>
      <c r="K159" s="38"/>
      <c r="L159" s="54" t="s">
        <v>211</v>
      </c>
      <c r="M159" s="29" t="str">
        <f t="shared" si="3"/>
        <v>CRITICO</v>
      </c>
    </row>
    <row r="160" ht="15.75" customHeight="1">
      <c r="B160" s="140" t="s">
        <v>452</v>
      </c>
      <c r="C160" s="149"/>
      <c r="D160" s="38"/>
      <c r="E160" s="52"/>
      <c r="F160" s="138"/>
      <c r="G160" s="38"/>
      <c r="H160" s="43"/>
      <c r="I160" s="38">
        <f t="shared" si="1"/>
        <v>0</v>
      </c>
      <c r="J160" s="25">
        <f t="shared" si="2"/>
        <v>0</v>
      </c>
      <c r="K160" s="38"/>
      <c r="L160" s="54" t="s">
        <v>211</v>
      </c>
      <c r="M160" s="29" t="str">
        <f t="shared" si="3"/>
        <v>CRITICO</v>
      </c>
    </row>
    <row r="161" ht="15.75" customHeight="1">
      <c r="B161" s="140" t="s">
        <v>452</v>
      </c>
      <c r="C161" s="149"/>
      <c r="D161" s="38"/>
      <c r="E161" s="52"/>
      <c r="F161" s="138"/>
      <c r="G161" s="38"/>
      <c r="H161" s="43"/>
      <c r="I161" s="38">
        <f t="shared" si="1"/>
        <v>0</v>
      </c>
      <c r="J161" s="25">
        <f t="shared" si="2"/>
        <v>0</v>
      </c>
      <c r="K161" s="38"/>
      <c r="L161" s="54" t="s">
        <v>211</v>
      </c>
      <c r="M161" s="29" t="str">
        <f t="shared" si="3"/>
        <v>CRITICO</v>
      </c>
    </row>
    <row r="162" ht="15.75" customHeight="1">
      <c r="B162" s="140" t="s">
        <v>452</v>
      </c>
      <c r="C162" s="149"/>
      <c r="D162" s="38"/>
      <c r="E162" s="52"/>
      <c r="F162" s="138"/>
      <c r="G162" s="38"/>
      <c r="H162" s="43"/>
      <c r="I162" s="38">
        <f t="shared" si="1"/>
        <v>0</v>
      </c>
      <c r="J162" s="25">
        <f t="shared" si="2"/>
        <v>0</v>
      </c>
      <c r="K162" s="38"/>
      <c r="L162" s="54" t="s">
        <v>211</v>
      </c>
      <c r="M162" s="29" t="str">
        <f t="shared" si="3"/>
        <v>CRITICO</v>
      </c>
    </row>
    <row r="163" ht="15.75" customHeight="1">
      <c r="B163" s="140" t="s">
        <v>452</v>
      </c>
      <c r="C163" s="149"/>
      <c r="D163" s="38"/>
      <c r="E163" s="52"/>
      <c r="F163" s="138"/>
      <c r="G163" s="38"/>
      <c r="H163" s="43"/>
      <c r="I163" s="38">
        <f t="shared" si="1"/>
        <v>0</v>
      </c>
      <c r="J163" s="25">
        <f t="shared" si="2"/>
        <v>0</v>
      </c>
      <c r="K163" s="38"/>
      <c r="L163" s="54" t="s">
        <v>211</v>
      </c>
      <c r="M163" s="29" t="str">
        <f t="shared" si="3"/>
        <v>CRITICO</v>
      </c>
    </row>
    <row r="164" ht="15.75" customHeight="1">
      <c r="B164" s="140" t="s">
        <v>452</v>
      </c>
      <c r="C164" s="149"/>
      <c r="D164" s="38"/>
      <c r="E164" s="52"/>
      <c r="F164" s="138"/>
      <c r="G164" s="38"/>
      <c r="H164" s="43"/>
      <c r="I164" s="38">
        <f t="shared" si="1"/>
        <v>0</v>
      </c>
      <c r="J164" s="25">
        <f t="shared" si="2"/>
        <v>0</v>
      </c>
      <c r="K164" s="38"/>
      <c r="L164" s="54" t="s">
        <v>211</v>
      </c>
      <c r="M164" s="29" t="str">
        <f t="shared" si="3"/>
        <v>CRITICO</v>
      </c>
    </row>
    <row r="165" ht="15.75" customHeight="1">
      <c r="B165" s="140" t="s">
        <v>452</v>
      </c>
      <c r="C165" s="149"/>
      <c r="D165" s="38"/>
      <c r="E165" s="52"/>
      <c r="F165" s="138"/>
      <c r="G165" s="38"/>
      <c r="H165" s="43"/>
      <c r="I165" s="38">
        <f t="shared" si="1"/>
        <v>0</v>
      </c>
      <c r="J165" s="25">
        <f t="shared" si="2"/>
        <v>0</v>
      </c>
      <c r="K165" s="38"/>
      <c r="L165" s="54" t="s">
        <v>211</v>
      </c>
      <c r="M165" s="29" t="str">
        <f t="shared" si="3"/>
        <v>CRITICO</v>
      </c>
    </row>
    <row r="166" ht="15.75" customHeight="1">
      <c r="B166" s="140" t="s">
        <v>452</v>
      </c>
      <c r="C166" s="149"/>
      <c r="D166" s="38"/>
      <c r="E166" s="52"/>
      <c r="F166" s="138"/>
      <c r="G166" s="38"/>
      <c r="H166" s="43"/>
      <c r="I166" s="38">
        <f t="shared" si="1"/>
        <v>0</v>
      </c>
      <c r="J166" s="25">
        <f t="shared" si="2"/>
        <v>0</v>
      </c>
      <c r="K166" s="38"/>
      <c r="L166" s="54" t="s">
        <v>211</v>
      </c>
      <c r="M166" s="29" t="str">
        <f t="shared" si="3"/>
        <v>CRITICO</v>
      </c>
    </row>
    <row r="167" ht="15.75" customHeight="1">
      <c r="B167" s="140" t="s">
        <v>452</v>
      </c>
      <c r="C167" s="149"/>
      <c r="D167" s="38"/>
      <c r="E167" s="52"/>
      <c r="F167" s="138"/>
      <c r="G167" s="38"/>
      <c r="H167" s="43"/>
      <c r="I167" s="38">
        <f t="shared" si="1"/>
        <v>0</v>
      </c>
      <c r="J167" s="25">
        <f t="shared" si="2"/>
        <v>0</v>
      </c>
      <c r="K167" s="38"/>
      <c r="L167" s="54" t="s">
        <v>211</v>
      </c>
      <c r="M167" s="29" t="str">
        <f t="shared" si="3"/>
        <v>CRITICO</v>
      </c>
    </row>
    <row r="168" ht="15.75" customHeight="1">
      <c r="B168" s="140" t="s">
        <v>452</v>
      </c>
      <c r="C168" s="149"/>
      <c r="D168" s="38"/>
      <c r="E168" s="52"/>
      <c r="F168" s="138"/>
      <c r="G168" s="38"/>
      <c r="H168" s="43"/>
      <c r="I168" s="38">
        <f t="shared" si="1"/>
        <v>0</v>
      </c>
      <c r="J168" s="25">
        <f t="shared" si="2"/>
        <v>0</v>
      </c>
      <c r="K168" s="38"/>
      <c r="L168" s="54" t="s">
        <v>211</v>
      </c>
      <c r="M168" s="29" t="str">
        <f t="shared" si="3"/>
        <v>CRITICO</v>
      </c>
    </row>
    <row r="169" ht="15.75" customHeight="1">
      <c r="B169" s="140" t="s">
        <v>452</v>
      </c>
      <c r="C169" s="149"/>
      <c r="D169" s="38"/>
      <c r="E169" s="52"/>
      <c r="F169" s="138"/>
      <c r="G169" s="38"/>
      <c r="H169" s="43"/>
      <c r="I169" s="38">
        <f t="shared" si="1"/>
        <v>0</v>
      </c>
      <c r="J169" s="25">
        <f t="shared" si="2"/>
        <v>0</v>
      </c>
      <c r="K169" s="38"/>
      <c r="L169" s="54" t="s">
        <v>211</v>
      </c>
      <c r="M169" s="29" t="str">
        <f t="shared" si="3"/>
        <v>CRITICO</v>
      </c>
    </row>
    <row r="170" ht="15.75" customHeight="1">
      <c r="B170" s="140" t="s">
        <v>452</v>
      </c>
      <c r="C170" s="149"/>
      <c r="D170" s="38"/>
      <c r="E170" s="52"/>
      <c r="F170" s="138"/>
      <c r="G170" s="38"/>
      <c r="H170" s="43"/>
      <c r="I170" s="38">
        <f t="shared" si="1"/>
        <v>0</v>
      </c>
      <c r="J170" s="25">
        <f t="shared" si="2"/>
        <v>0</v>
      </c>
      <c r="K170" s="38"/>
      <c r="L170" s="54" t="s">
        <v>211</v>
      </c>
      <c r="M170" s="29" t="str">
        <f t="shared" si="3"/>
        <v>CRITICO</v>
      </c>
    </row>
    <row r="171" ht="15.75" customHeight="1">
      <c r="B171" s="140" t="s">
        <v>452</v>
      </c>
      <c r="C171" s="149"/>
      <c r="D171" s="38"/>
      <c r="E171" s="52"/>
      <c r="F171" s="138"/>
      <c r="G171" s="38"/>
      <c r="H171" s="43"/>
      <c r="I171" s="38">
        <f t="shared" si="1"/>
        <v>0</v>
      </c>
      <c r="J171" s="25">
        <f t="shared" si="2"/>
        <v>0</v>
      </c>
      <c r="K171" s="38"/>
      <c r="L171" s="54" t="s">
        <v>211</v>
      </c>
      <c r="M171" s="29" t="str">
        <f t="shared" si="3"/>
        <v>CRITICO</v>
      </c>
    </row>
    <row r="172" ht="15.75" customHeight="1">
      <c r="B172" s="140" t="s">
        <v>452</v>
      </c>
      <c r="C172" s="149"/>
      <c r="D172" s="38"/>
      <c r="E172" s="52"/>
      <c r="F172" s="138"/>
      <c r="G172" s="38"/>
      <c r="H172" s="43"/>
      <c r="I172" s="38">
        <f t="shared" si="1"/>
        <v>0</v>
      </c>
      <c r="J172" s="25">
        <f t="shared" si="2"/>
        <v>0</v>
      </c>
      <c r="K172" s="38"/>
      <c r="L172" s="54" t="s">
        <v>211</v>
      </c>
      <c r="M172" s="29" t="str">
        <f t="shared" si="3"/>
        <v>CRITICO</v>
      </c>
    </row>
    <row r="173" ht="15.75" customHeight="1">
      <c r="B173" s="140" t="s">
        <v>452</v>
      </c>
      <c r="C173" s="149"/>
      <c r="D173" s="38"/>
      <c r="E173" s="52"/>
      <c r="F173" s="138"/>
      <c r="G173" s="38"/>
      <c r="H173" s="43"/>
      <c r="I173" s="38">
        <f t="shared" si="1"/>
        <v>0</v>
      </c>
      <c r="J173" s="25">
        <f t="shared" si="2"/>
        <v>0</v>
      </c>
      <c r="K173" s="38"/>
      <c r="L173" s="54" t="s">
        <v>211</v>
      </c>
      <c r="M173" s="29" t="str">
        <f t="shared" si="3"/>
        <v>CRITICO</v>
      </c>
    </row>
    <row r="174" ht="15.75" customHeight="1">
      <c r="B174" s="140" t="s">
        <v>452</v>
      </c>
      <c r="C174" s="149"/>
      <c r="D174" s="38"/>
      <c r="E174" s="52"/>
      <c r="F174" s="138"/>
      <c r="G174" s="38"/>
      <c r="H174" s="43"/>
      <c r="I174" s="38">
        <f t="shared" si="1"/>
        <v>0</v>
      </c>
      <c r="J174" s="25">
        <f t="shared" si="2"/>
        <v>0</v>
      </c>
      <c r="K174" s="38"/>
      <c r="L174" s="54" t="s">
        <v>211</v>
      </c>
      <c r="M174" s="29" t="str">
        <f t="shared" si="3"/>
        <v>CRITICO</v>
      </c>
    </row>
    <row r="175" ht="15.75" customHeight="1">
      <c r="B175" s="140" t="s">
        <v>452</v>
      </c>
      <c r="C175" s="149"/>
      <c r="D175" s="38"/>
      <c r="E175" s="52"/>
      <c r="F175" s="138"/>
      <c r="G175" s="38"/>
      <c r="H175" s="43"/>
      <c r="I175" s="38">
        <f t="shared" si="1"/>
        <v>0</v>
      </c>
      <c r="J175" s="25">
        <f t="shared" si="2"/>
        <v>0</v>
      </c>
      <c r="K175" s="38"/>
      <c r="L175" s="54" t="s">
        <v>211</v>
      </c>
      <c r="M175" s="29" t="str">
        <f t="shared" si="3"/>
        <v>CRITICO</v>
      </c>
    </row>
    <row r="176" ht="15.75" customHeight="1">
      <c r="B176" s="140" t="s">
        <v>452</v>
      </c>
      <c r="C176" s="149"/>
      <c r="D176" s="38"/>
      <c r="E176" s="52"/>
      <c r="F176" s="138"/>
      <c r="G176" s="38"/>
      <c r="H176" s="43"/>
      <c r="I176" s="38">
        <f t="shared" si="1"/>
        <v>0</v>
      </c>
      <c r="J176" s="25">
        <f t="shared" si="2"/>
        <v>0</v>
      </c>
      <c r="K176" s="38"/>
      <c r="L176" s="54" t="s">
        <v>211</v>
      </c>
      <c r="M176" s="29" t="str">
        <f t="shared" si="3"/>
        <v>CRITICO</v>
      </c>
    </row>
    <row r="177" ht="15.75" customHeight="1">
      <c r="B177" s="140" t="s">
        <v>452</v>
      </c>
      <c r="C177" s="149"/>
      <c r="D177" s="38"/>
      <c r="E177" s="52"/>
      <c r="F177" s="138"/>
      <c r="G177" s="38"/>
      <c r="H177" s="43"/>
      <c r="I177" s="38">
        <f t="shared" si="1"/>
        <v>0</v>
      </c>
      <c r="J177" s="25">
        <f t="shared" si="2"/>
        <v>0</v>
      </c>
      <c r="K177" s="38"/>
      <c r="L177" s="54" t="s">
        <v>211</v>
      </c>
      <c r="M177" s="29" t="str">
        <f t="shared" si="3"/>
        <v>CRITICO</v>
      </c>
    </row>
    <row r="178" ht="15.75" customHeight="1">
      <c r="B178" s="140" t="s">
        <v>452</v>
      </c>
      <c r="C178" s="149"/>
      <c r="D178" s="38"/>
      <c r="E178" s="52"/>
      <c r="F178" s="138"/>
      <c r="G178" s="38"/>
      <c r="H178" s="43"/>
      <c r="I178" s="38">
        <f t="shared" si="1"/>
        <v>0</v>
      </c>
      <c r="J178" s="25">
        <f t="shared" si="2"/>
        <v>0</v>
      </c>
      <c r="K178" s="38"/>
      <c r="L178" s="54" t="s">
        <v>211</v>
      </c>
      <c r="M178" s="29" t="str">
        <f t="shared" si="3"/>
        <v>CRITICO</v>
      </c>
    </row>
    <row r="179" ht="15.75" customHeight="1">
      <c r="B179" s="140" t="s">
        <v>452</v>
      </c>
      <c r="C179" s="149"/>
      <c r="D179" s="38"/>
      <c r="E179" s="52"/>
      <c r="F179" s="138"/>
      <c r="G179" s="38"/>
      <c r="H179" s="43"/>
      <c r="I179" s="38">
        <f t="shared" si="1"/>
        <v>0</v>
      </c>
      <c r="J179" s="25">
        <f t="shared" si="2"/>
        <v>0</v>
      </c>
      <c r="K179" s="38"/>
      <c r="L179" s="54" t="s">
        <v>211</v>
      </c>
      <c r="M179" s="29" t="str">
        <f t="shared" si="3"/>
        <v>CRITICO</v>
      </c>
    </row>
    <row r="180" ht="15.75" customHeight="1">
      <c r="B180" s="140" t="s">
        <v>452</v>
      </c>
      <c r="C180" s="149"/>
      <c r="D180" s="38"/>
      <c r="E180" s="52"/>
      <c r="F180" s="138"/>
      <c r="G180" s="38"/>
      <c r="H180" s="43"/>
      <c r="I180" s="38">
        <f t="shared" si="1"/>
        <v>0</v>
      </c>
      <c r="J180" s="25">
        <f t="shared" si="2"/>
        <v>0</v>
      </c>
      <c r="K180" s="38" t="s">
        <v>559</v>
      </c>
      <c r="L180" s="54" t="s">
        <v>211</v>
      </c>
      <c r="M180" s="29" t="str">
        <f t="shared" si="3"/>
        <v>CRITICO</v>
      </c>
    </row>
    <row r="181" ht="15.75" customHeight="1">
      <c r="B181" s="140" t="s">
        <v>452</v>
      </c>
      <c r="C181" s="149"/>
      <c r="D181" s="38"/>
      <c r="E181" s="52"/>
      <c r="F181" s="138"/>
      <c r="G181" s="38"/>
      <c r="H181" s="43"/>
      <c r="I181" s="38">
        <f t="shared" si="1"/>
        <v>0</v>
      </c>
      <c r="J181" s="25">
        <f t="shared" si="2"/>
        <v>0</v>
      </c>
      <c r="K181" s="38"/>
      <c r="L181" s="54" t="s">
        <v>211</v>
      </c>
      <c r="M181" s="29" t="str">
        <f t="shared" si="3"/>
        <v>CRITICO</v>
      </c>
    </row>
    <row r="182" ht="15.75" customHeight="1">
      <c r="B182" s="140" t="s">
        <v>452</v>
      </c>
      <c r="C182" s="149"/>
      <c r="D182" s="38"/>
      <c r="E182" s="52"/>
      <c r="F182" s="138"/>
      <c r="G182" s="38"/>
      <c r="H182" s="43"/>
      <c r="I182" s="38">
        <f t="shared" si="1"/>
        <v>0</v>
      </c>
      <c r="J182" s="25">
        <f t="shared" si="2"/>
        <v>0</v>
      </c>
      <c r="K182" s="38"/>
      <c r="L182" s="54" t="s">
        <v>211</v>
      </c>
      <c r="M182" s="29" t="str">
        <f t="shared" si="3"/>
        <v>CRITICO</v>
      </c>
    </row>
    <row r="183" ht="15.75" customHeight="1">
      <c r="B183" s="140" t="s">
        <v>452</v>
      </c>
      <c r="C183" s="149"/>
      <c r="D183" s="38"/>
      <c r="E183" s="52"/>
      <c r="F183" s="138"/>
      <c r="G183" s="38"/>
      <c r="H183" s="43"/>
      <c r="I183" s="38">
        <f t="shared" si="1"/>
        <v>0</v>
      </c>
      <c r="J183" s="25">
        <f t="shared" si="2"/>
        <v>0</v>
      </c>
      <c r="K183" s="38"/>
      <c r="L183" s="54" t="s">
        <v>211</v>
      </c>
      <c r="M183" s="29" t="str">
        <f t="shared" si="3"/>
        <v>CRITICO</v>
      </c>
    </row>
    <row r="184" ht="15.75" customHeight="1">
      <c r="B184" s="140" t="s">
        <v>560</v>
      </c>
      <c r="C184" s="149"/>
      <c r="D184" s="38"/>
      <c r="E184" s="52"/>
      <c r="F184" s="138"/>
      <c r="G184" s="38"/>
      <c r="H184" s="43"/>
      <c r="I184" s="38">
        <f t="shared" si="1"/>
        <v>0</v>
      </c>
      <c r="J184" s="25">
        <f t="shared" si="2"/>
        <v>0</v>
      </c>
      <c r="K184" s="38"/>
      <c r="L184" s="54" t="s">
        <v>211</v>
      </c>
      <c r="M184" s="29" t="str">
        <f t="shared" si="3"/>
        <v>CRITICO</v>
      </c>
    </row>
    <row r="185" ht="15.75" customHeight="1">
      <c r="B185" s="140" t="s">
        <v>452</v>
      </c>
      <c r="C185" s="149"/>
      <c r="D185" s="38"/>
      <c r="E185" s="52"/>
      <c r="F185" s="138"/>
      <c r="G185" s="38"/>
      <c r="H185" s="43"/>
      <c r="I185" s="38">
        <f t="shared" si="1"/>
        <v>0</v>
      </c>
      <c r="J185" s="25">
        <f t="shared" si="2"/>
        <v>0</v>
      </c>
      <c r="K185" s="38"/>
      <c r="L185" s="54" t="s">
        <v>211</v>
      </c>
      <c r="M185" s="29" t="str">
        <f t="shared" si="3"/>
        <v>CRITICO</v>
      </c>
    </row>
    <row r="186" ht="15.75" customHeight="1">
      <c r="B186" s="140" t="s">
        <v>452</v>
      </c>
      <c r="C186" s="149"/>
      <c r="D186" s="38"/>
      <c r="E186" s="52"/>
      <c r="F186" s="138"/>
      <c r="G186" s="38"/>
      <c r="H186" s="43"/>
      <c r="I186" s="38">
        <f t="shared" si="1"/>
        <v>0</v>
      </c>
      <c r="J186" s="25">
        <f t="shared" si="2"/>
        <v>0</v>
      </c>
      <c r="K186" s="38"/>
      <c r="L186" s="54" t="s">
        <v>211</v>
      </c>
      <c r="M186" s="29" t="str">
        <f t="shared" si="3"/>
        <v>CRITICO</v>
      </c>
    </row>
    <row r="187" ht="15.75" customHeight="1">
      <c r="B187" s="140" t="s">
        <v>452</v>
      </c>
      <c r="C187" s="149"/>
      <c r="D187" s="38"/>
      <c r="E187" s="52"/>
      <c r="F187" s="138"/>
      <c r="G187" s="38"/>
      <c r="H187" s="43"/>
      <c r="I187" s="38">
        <f t="shared" si="1"/>
        <v>0</v>
      </c>
      <c r="J187" s="25">
        <f t="shared" si="2"/>
        <v>0</v>
      </c>
      <c r="K187" s="38"/>
      <c r="L187" s="54" t="s">
        <v>211</v>
      </c>
      <c r="M187" s="29" t="str">
        <f t="shared" si="3"/>
        <v>CRITICO</v>
      </c>
    </row>
    <row r="188" ht="15.75" customHeight="1">
      <c r="B188" s="140" t="s">
        <v>452</v>
      </c>
      <c r="C188" s="149"/>
      <c r="D188" s="14"/>
      <c r="E188" s="52"/>
      <c r="F188" s="138"/>
      <c r="G188" s="14"/>
      <c r="H188" s="43"/>
      <c r="I188" s="38">
        <f t="shared" si="1"/>
        <v>0</v>
      </c>
      <c r="J188" s="25">
        <f t="shared" si="2"/>
        <v>0</v>
      </c>
      <c r="K188" s="14"/>
      <c r="L188" s="14" t="s">
        <v>26</v>
      </c>
      <c r="M188" s="29" t="str">
        <f t="shared" si="3"/>
        <v>CRITICO</v>
      </c>
    </row>
    <row r="189" ht="15.75" customHeight="1">
      <c r="B189" s="140" t="s">
        <v>452</v>
      </c>
      <c r="C189" s="149"/>
      <c r="D189" s="14"/>
      <c r="E189" s="52"/>
      <c r="F189" s="138"/>
      <c r="G189" s="14"/>
      <c r="H189" s="43"/>
      <c r="I189" s="38">
        <f t="shared" si="1"/>
        <v>0</v>
      </c>
      <c r="J189" s="25">
        <f t="shared" si="2"/>
        <v>0</v>
      </c>
      <c r="K189" s="14"/>
      <c r="L189" s="14" t="s">
        <v>26</v>
      </c>
      <c r="M189" s="29" t="str">
        <f t="shared" si="3"/>
        <v>CRITICO</v>
      </c>
    </row>
    <row r="190" ht="15.75" customHeight="1">
      <c r="B190" s="140" t="s">
        <v>452</v>
      </c>
      <c r="C190" s="149"/>
      <c r="D190" s="14"/>
      <c r="E190" s="52"/>
      <c r="F190" s="138"/>
      <c r="G190" s="14"/>
      <c r="H190" s="43"/>
      <c r="I190" s="38">
        <f t="shared" si="1"/>
        <v>0</v>
      </c>
      <c r="J190" s="25">
        <f t="shared" si="2"/>
        <v>0</v>
      </c>
      <c r="K190" s="14" t="s">
        <v>530</v>
      </c>
      <c r="L190" s="14" t="s">
        <v>26</v>
      </c>
      <c r="M190" s="29" t="str">
        <f t="shared" si="3"/>
        <v>CRITICO</v>
      </c>
    </row>
    <row r="191" ht="15.75" customHeight="1">
      <c r="B191" s="140" t="s">
        <v>452</v>
      </c>
      <c r="C191" s="149"/>
      <c r="D191" s="14"/>
      <c r="E191" s="52"/>
      <c r="F191" s="138"/>
      <c r="G191" s="14"/>
      <c r="H191" s="43"/>
      <c r="I191" s="38">
        <f t="shared" si="1"/>
        <v>0</v>
      </c>
      <c r="J191" s="25">
        <f t="shared" si="2"/>
        <v>0</v>
      </c>
      <c r="K191" s="14" t="s">
        <v>530</v>
      </c>
      <c r="L191" s="14" t="s">
        <v>26</v>
      </c>
      <c r="M191" s="29" t="str">
        <f t="shared" si="3"/>
        <v>CRITICO</v>
      </c>
    </row>
    <row r="192" ht="15.75" customHeight="1">
      <c r="B192" s="140" t="s">
        <v>452</v>
      </c>
      <c r="C192" s="149"/>
      <c r="D192" s="14"/>
      <c r="E192" s="52"/>
      <c r="F192" s="138"/>
      <c r="G192" s="14"/>
      <c r="H192" s="43"/>
      <c r="I192" s="38">
        <f t="shared" si="1"/>
        <v>0</v>
      </c>
      <c r="J192" s="25">
        <f t="shared" si="2"/>
        <v>0</v>
      </c>
      <c r="K192" s="14" t="s">
        <v>530</v>
      </c>
      <c r="L192" s="14" t="s">
        <v>26</v>
      </c>
      <c r="M192" s="29" t="str">
        <f t="shared" si="3"/>
        <v>CRITICO</v>
      </c>
    </row>
    <row r="193" ht="15.75" customHeight="1">
      <c r="B193" s="140" t="s">
        <v>452</v>
      </c>
      <c r="C193" s="149"/>
      <c r="D193" s="14"/>
      <c r="E193" s="52"/>
      <c r="F193" s="138"/>
      <c r="G193" s="14"/>
      <c r="H193" s="43"/>
      <c r="I193" s="38">
        <f t="shared" si="1"/>
        <v>0</v>
      </c>
      <c r="J193" s="25">
        <f t="shared" si="2"/>
        <v>0</v>
      </c>
      <c r="K193" s="14"/>
      <c r="L193" s="14"/>
      <c r="M193" s="29" t="str">
        <f t="shared" si="3"/>
        <v>CRITICO</v>
      </c>
    </row>
    <row r="194" ht="15.75" customHeight="1">
      <c r="B194" s="140" t="s">
        <v>452</v>
      </c>
      <c r="C194" s="149"/>
      <c r="D194" s="14"/>
      <c r="E194" s="52"/>
      <c r="F194" s="138"/>
      <c r="G194" s="14"/>
      <c r="H194" s="43"/>
      <c r="I194" s="38">
        <f t="shared" si="1"/>
        <v>0</v>
      </c>
      <c r="J194" s="25">
        <f t="shared" si="2"/>
        <v>0</v>
      </c>
      <c r="K194" s="14"/>
      <c r="L194" s="14"/>
      <c r="M194" s="29" t="str">
        <f t="shared" si="3"/>
        <v>CRITICO</v>
      </c>
    </row>
    <row r="195" ht="15.75" customHeight="1">
      <c r="B195" s="140" t="s">
        <v>452</v>
      </c>
      <c r="C195" s="149"/>
      <c r="D195" s="14"/>
      <c r="E195" s="52"/>
      <c r="F195" s="138"/>
      <c r="G195" s="14"/>
      <c r="H195" s="43"/>
      <c r="I195" s="38">
        <f t="shared" si="1"/>
        <v>0</v>
      </c>
      <c r="J195" s="25">
        <f t="shared" si="2"/>
        <v>0</v>
      </c>
      <c r="K195" s="14"/>
      <c r="L195" s="14" t="s">
        <v>26</v>
      </c>
      <c r="M195" s="29" t="str">
        <f t="shared" si="3"/>
        <v>CRITICO</v>
      </c>
    </row>
    <row r="196" ht="15.75" customHeight="1">
      <c r="B196" s="140" t="s">
        <v>452</v>
      </c>
      <c r="C196" s="149"/>
      <c r="D196" s="14"/>
      <c r="E196" s="52"/>
      <c r="F196" s="138"/>
      <c r="G196" s="14"/>
      <c r="H196" s="43"/>
      <c r="I196" s="38">
        <f t="shared" si="1"/>
        <v>0</v>
      </c>
      <c r="J196" s="25">
        <f t="shared" si="2"/>
        <v>0</v>
      </c>
      <c r="K196" s="14"/>
      <c r="L196" s="14" t="s">
        <v>211</v>
      </c>
      <c r="M196" s="29" t="str">
        <f t="shared" si="3"/>
        <v>CRITICO</v>
      </c>
    </row>
    <row r="197" ht="15.75" customHeight="1">
      <c r="B197" s="140" t="s">
        <v>452</v>
      </c>
      <c r="C197" s="149"/>
      <c r="D197" s="14"/>
      <c r="E197" s="52"/>
      <c r="F197" s="138"/>
      <c r="G197" s="14"/>
      <c r="H197" s="43"/>
      <c r="I197" s="38">
        <f t="shared" si="1"/>
        <v>0</v>
      </c>
      <c r="J197" s="25">
        <f t="shared" si="2"/>
        <v>0</v>
      </c>
      <c r="K197" s="14" t="s">
        <v>114</v>
      </c>
      <c r="L197" s="14" t="s">
        <v>211</v>
      </c>
      <c r="M197" s="29" t="str">
        <f t="shared" si="3"/>
        <v>CRITICO</v>
      </c>
    </row>
    <row r="198" ht="15.75" customHeight="1">
      <c r="B198" s="140" t="s">
        <v>452</v>
      </c>
      <c r="C198" s="149"/>
      <c r="D198" s="14"/>
      <c r="E198" s="52"/>
      <c r="F198" s="138"/>
      <c r="G198" s="14"/>
      <c r="H198" s="43"/>
      <c r="I198" s="38">
        <f t="shared" si="1"/>
        <v>0</v>
      </c>
      <c r="J198" s="25">
        <f t="shared" si="2"/>
        <v>0</v>
      </c>
      <c r="K198" s="14" t="s">
        <v>549</v>
      </c>
      <c r="L198" s="14" t="s">
        <v>211</v>
      </c>
      <c r="M198" s="29" t="str">
        <f t="shared" si="3"/>
        <v>CRITICO</v>
      </c>
    </row>
    <row r="199" ht="15.75" customHeight="1">
      <c r="B199" s="140" t="s">
        <v>452</v>
      </c>
      <c r="C199" s="149"/>
      <c r="D199" s="14"/>
      <c r="E199" s="52"/>
      <c r="F199" s="138"/>
      <c r="G199" s="14"/>
      <c r="H199" s="43"/>
      <c r="I199" s="38">
        <f t="shared" si="1"/>
        <v>0</v>
      </c>
      <c r="J199" s="25">
        <f t="shared" si="2"/>
        <v>0</v>
      </c>
      <c r="K199" s="14"/>
      <c r="L199" s="14"/>
      <c r="M199" s="29" t="str">
        <f t="shared" si="3"/>
        <v>CRITICO</v>
      </c>
    </row>
    <row r="200" ht="15.75" customHeight="1">
      <c r="B200" s="140" t="s">
        <v>452</v>
      </c>
      <c r="C200" s="149"/>
      <c r="D200" s="14"/>
      <c r="E200" s="52"/>
      <c r="F200" s="138"/>
      <c r="G200" s="14"/>
      <c r="H200" s="43"/>
      <c r="I200" s="38">
        <f t="shared" si="1"/>
        <v>0</v>
      </c>
      <c r="J200" s="25">
        <f t="shared" si="2"/>
        <v>0</v>
      </c>
      <c r="K200" s="14"/>
      <c r="L200" s="252" t="s">
        <v>211</v>
      </c>
      <c r="M200" s="263" t="str">
        <f t="shared" si="3"/>
        <v>CRITICO</v>
      </c>
    </row>
    <row r="201" ht="15.75" customHeight="1">
      <c r="B201" s="140" t="s">
        <v>452</v>
      </c>
      <c r="C201" s="149"/>
      <c r="D201" s="38"/>
      <c r="E201" s="52"/>
      <c r="F201" s="138"/>
      <c r="G201" s="38"/>
      <c r="H201" s="43"/>
      <c r="I201" s="38">
        <f t="shared" si="1"/>
        <v>0</v>
      </c>
      <c r="J201" s="25">
        <f t="shared" si="2"/>
        <v>0</v>
      </c>
      <c r="K201" s="38"/>
      <c r="L201" s="54" t="s">
        <v>211</v>
      </c>
      <c r="M201" s="29" t="str">
        <f t="shared" si="3"/>
        <v>CRITICO</v>
      </c>
    </row>
    <row r="202" ht="15.75" customHeight="1">
      <c r="B202" s="140" t="s">
        <v>452</v>
      </c>
      <c r="C202" s="149"/>
      <c r="D202" s="38"/>
      <c r="E202" s="52"/>
      <c r="F202" s="138"/>
      <c r="G202" s="38"/>
      <c r="H202" s="43"/>
      <c r="I202" s="38">
        <f t="shared" si="1"/>
        <v>0</v>
      </c>
      <c r="J202" s="25">
        <f t="shared" si="2"/>
        <v>0</v>
      </c>
      <c r="K202" s="38"/>
      <c r="L202" s="54" t="s">
        <v>211</v>
      </c>
      <c r="M202" s="29" t="str">
        <f t="shared" si="3"/>
        <v>CRITICO</v>
      </c>
    </row>
    <row r="203" ht="15.75" customHeight="1">
      <c r="B203" s="140" t="s">
        <v>452</v>
      </c>
      <c r="C203" s="149"/>
      <c r="D203" s="38"/>
      <c r="E203" s="52"/>
      <c r="F203" s="138"/>
      <c r="G203" s="38"/>
      <c r="H203" s="43"/>
      <c r="I203" s="38">
        <f t="shared" si="1"/>
        <v>0</v>
      </c>
      <c r="J203" s="25">
        <f t="shared" si="2"/>
        <v>0</v>
      </c>
      <c r="K203" s="38"/>
      <c r="L203" s="54" t="s">
        <v>211</v>
      </c>
      <c r="M203" s="29" t="str">
        <f t="shared" si="3"/>
        <v>CRITICO</v>
      </c>
    </row>
    <row r="204" ht="15.75" customHeight="1">
      <c r="B204" s="140" t="s">
        <v>452</v>
      </c>
      <c r="C204" s="149"/>
      <c r="D204" s="38"/>
      <c r="E204" s="52"/>
      <c r="F204" s="138"/>
      <c r="G204" s="38"/>
      <c r="H204" s="43"/>
      <c r="I204" s="38">
        <f t="shared" si="1"/>
        <v>0</v>
      </c>
      <c r="J204" s="25">
        <f t="shared" si="2"/>
        <v>0</v>
      </c>
      <c r="K204" s="38"/>
      <c r="L204" s="54" t="s">
        <v>211</v>
      </c>
      <c r="M204" s="29" t="str">
        <f t="shared" si="3"/>
        <v>CRITICO</v>
      </c>
    </row>
    <row r="205" ht="15.75" customHeight="1">
      <c r="B205" s="140" t="s">
        <v>560</v>
      </c>
      <c r="C205" s="149"/>
      <c r="D205" s="38"/>
      <c r="E205" s="52"/>
      <c r="F205" s="43"/>
      <c r="G205" s="38"/>
      <c r="H205" s="43"/>
      <c r="I205" s="38">
        <f t="shared" si="1"/>
        <v>0</v>
      </c>
      <c r="J205" s="25">
        <f t="shared" si="2"/>
        <v>0</v>
      </c>
      <c r="K205" s="38"/>
      <c r="L205" s="54" t="s">
        <v>211</v>
      </c>
      <c r="M205" s="29" t="str">
        <f t="shared" si="3"/>
        <v>CRITICO</v>
      </c>
    </row>
    <row r="206" ht="15.75" customHeight="1">
      <c r="B206" s="140" t="s">
        <v>452</v>
      </c>
      <c r="C206" s="149"/>
      <c r="D206" s="38"/>
      <c r="E206" s="52"/>
      <c r="F206" s="138"/>
      <c r="G206" s="38"/>
      <c r="H206" s="43"/>
      <c r="I206" s="38">
        <f t="shared" si="1"/>
        <v>0</v>
      </c>
      <c r="J206" s="25">
        <f t="shared" si="2"/>
        <v>0</v>
      </c>
      <c r="K206" s="38"/>
      <c r="L206" s="54" t="s">
        <v>211</v>
      </c>
      <c r="M206" s="29" t="str">
        <f t="shared" si="3"/>
        <v>CRITICO</v>
      </c>
    </row>
    <row r="207" ht="15.75" customHeight="1">
      <c r="B207" s="140" t="s">
        <v>452</v>
      </c>
      <c r="C207" s="149"/>
      <c r="D207" s="38"/>
      <c r="E207" s="52"/>
      <c r="F207" s="138"/>
      <c r="G207" s="38"/>
      <c r="H207" s="138"/>
      <c r="I207" s="38">
        <f t="shared" si="1"/>
        <v>0</v>
      </c>
      <c r="J207" s="25">
        <f t="shared" si="2"/>
        <v>0</v>
      </c>
      <c r="K207" s="38"/>
      <c r="L207" s="54" t="s">
        <v>211</v>
      </c>
      <c r="M207" s="29" t="str">
        <f t="shared" si="3"/>
        <v>CRITICO</v>
      </c>
    </row>
    <row r="208" ht="15.75" customHeight="1">
      <c r="B208" s="140" t="s">
        <v>452</v>
      </c>
      <c r="C208" s="149"/>
      <c r="D208" s="38"/>
      <c r="E208" s="52"/>
      <c r="F208" s="138"/>
      <c r="G208" s="38"/>
      <c r="H208" s="43"/>
      <c r="I208" s="38">
        <f t="shared" si="1"/>
        <v>0</v>
      </c>
      <c r="J208" s="25">
        <f t="shared" si="2"/>
        <v>0</v>
      </c>
      <c r="K208" s="38"/>
      <c r="L208" s="54" t="s">
        <v>211</v>
      </c>
      <c r="M208" s="29" t="str">
        <f t="shared" si="3"/>
        <v>CRITICO</v>
      </c>
    </row>
    <row r="209" ht="15.75" customHeight="1">
      <c r="B209" s="140" t="s">
        <v>452</v>
      </c>
      <c r="C209" s="149"/>
      <c r="D209" s="38"/>
      <c r="E209" s="52"/>
      <c r="F209" s="138"/>
      <c r="G209" s="38"/>
      <c r="H209" s="43"/>
      <c r="I209" s="38">
        <f t="shared" si="1"/>
        <v>0</v>
      </c>
      <c r="J209" s="25">
        <f t="shared" si="2"/>
        <v>0</v>
      </c>
      <c r="K209" s="38"/>
      <c r="L209" s="54" t="s">
        <v>211</v>
      </c>
      <c r="M209" s="29" t="str">
        <f t="shared" si="3"/>
        <v>CRITICO</v>
      </c>
    </row>
    <row r="210" ht="15.75" customHeight="1">
      <c r="B210" s="140" t="s">
        <v>452</v>
      </c>
      <c r="C210" s="149"/>
      <c r="F210" s="138"/>
      <c r="H210" s="43"/>
    </row>
    <row r="211" ht="15.75" customHeight="1">
      <c r="B211" s="140" t="s">
        <v>452</v>
      </c>
      <c r="C211" s="149"/>
      <c r="F211" s="138"/>
      <c r="H211" s="43"/>
    </row>
    <row r="212" ht="15.75" customHeight="1">
      <c r="B212" s="140" t="s">
        <v>452</v>
      </c>
      <c r="C212" s="149"/>
      <c r="F212" s="138"/>
      <c r="H212" s="43"/>
    </row>
    <row r="213" ht="15.75" customHeight="1">
      <c r="B213" s="140" t="s">
        <v>452</v>
      </c>
      <c r="C213" s="149"/>
      <c r="F213" s="138"/>
      <c r="H213" s="43"/>
    </row>
    <row r="214" ht="15.75" customHeight="1">
      <c r="B214" s="140" t="s">
        <v>452</v>
      </c>
      <c r="C214" s="149"/>
      <c r="F214" s="138"/>
      <c r="H214" s="43"/>
    </row>
    <row r="215" ht="15.75" customHeight="1">
      <c r="B215" s="140" t="s">
        <v>452</v>
      </c>
      <c r="C215" s="149"/>
      <c r="F215" s="253"/>
      <c r="H215" s="138"/>
    </row>
    <row r="216" ht="15.75" customHeight="1">
      <c r="B216" s="140" t="s">
        <v>445</v>
      </c>
      <c r="C216" s="149"/>
      <c r="F216" s="167"/>
      <c r="H216" s="43"/>
    </row>
    <row r="217" ht="15.75" customHeight="1">
      <c r="B217" s="43"/>
      <c r="C217" s="149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M1"/>
  </mergeCells>
  <conditionalFormatting sqref="M3:M181">
    <cfRule type="expression" dxfId="0" priority="1" stopIfTrue="1">
      <formula>J3=0</formula>
    </cfRule>
  </conditionalFormatting>
  <conditionalFormatting sqref="M3:M181">
    <cfRule type="expression" dxfId="1" priority="2" stopIfTrue="1">
      <formula>AND(J3&gt;0,J3&lt;0.5)</formula>
    </cfRule>
  </conditionalFormatting>
  <conditionalFormatting sqref="M3:M181">
    <cfRule type="expression" dxfId="2" priority="3" stopIfTrue="1">
      <formula>+J3&gt;=0.5</formula>
    </cfRule>
  </conditionalFormatting>
  <conditionalFormatting sqref="M182:M187">
    <cfRule type="expression" dxfId="0" priority="4" stopIfTrue="1">
      <formula>J182=0</formula>
    </cfRule>
  </conditionalFormatting>
  <conditionalFormatting sqref="M182:M187">
    <cfRule type="expression" dxfId="1" priority="5" stopIfTrue="1">
      <formula>AND(J182&gt;0,J182&lt;0.5)</formula>
    </cfRule>
  </conditionalFormatting>
  <conditionalFormatting sqref="M182:M187">
    <cfRule type="expression" dxfId="2" priority="6" stopIfTrue="1">
      <formula>+J182&gt;=0.5</formula>
    </cfRule>
  </conditionalFormatting>
  <conditionalFormatting sqref="M188:M199">
    <cfRule type="expression" dxfId="0" priority="7" stopIfTrue="1">
      <formula>J188=0</formula>
    </cfRule>
  </conditionalFormatting>
  <conditionalFormatting sqref="M188:M199">
    <cfRule type="expression" dxfId="1" priority="8" stopIfTrue="1">
      <formula>AND(J188&gt;0,J188&lt;0.5)</formula>
    </cfRule>
  </conditionalFormatting>
  <conditionalFormatting sqref="M188:M199">
    <cfRule type="expression" dxfId="2" priority="9" stopIfTrue="1">
      <formula>+J188&gt;=0.5</formula>
    </cfRule>
  </conditionalFormatting>
  <conditionalFormatting sqref="M200:M202">
    <cfRule type="expression" dxfId="0" priority="10" stopIfTrue="1">
      <formula>J200=0</formula>
    </cfRule>
  </conditionalFormatting>
  <conditionalFormatting sqref="M200:M202">
    <cfRule type="expression" dxfId="1" priority="11" stopIfTrue="1">
      <formula>AND(J200&gt;0,J200&lt;0.5)</formula>
    </cfRule>
  </conditionalFormatting>
  <conditionalFormatting sqref="M200:M202">
    <cfRule type="expression" dxfId="2" priority="12" stopIfTrue="1">
      <formula>+J200&gt;=0.5</formula>
    </cfRule>
  </conditionalFormatting>
  <conditionalFormatting sqref="M203">
    <cfRule type="expression" dxfId="0" priority="13" stopIfTrue="1">
      <formula>J203=0</formula>
    </cfRule>
  </conditionalFormatting>
  <conditionalFormatting sqref="M203">
    <cfRule type="expression" dxfId="1" priority="14" stopIfTrue="1">
      <formula>AND(J203&gt;0,J203&lt;0.5)</formula>
    </cfRule>
  </conditionalFormatting>
  <conditionalFormatting sqref="M203">
    <cfRule type="expression" dxfId="2" priority="15" stopIfTrue="1">
      <formula>+J203&gt;=0.5</formula>
    </cfRule>
  </conditionalFormatting>
  <conditionalFormatting sqref="M204:M206">
    <cfRule type="expression" dxfId="0" priority="16" stopIfTrue="1">
      <formula>J204=0</formula>
    </cfRule>
  </conditionalFormatting>
  <conditionalFormatting sqref="M204:M206">
    <cfRule type="expression" dxfId="1" priority="17" stopIfTrue="1">
      <formula>AND(J204&gt;0,J204&lt;0.5)</formula>
    </cfRule>
  </conditionalFormatting>
  <conditionalFormatting sqref="M204:M206">
    <cfRule type="expression" dxfId="2" priority="18" stopIfTrue="1">
      <formula>+J204&gt;=0.5</formula>
    </cfRule>
  </conditionalFormatting>
  <conditionalFormatting sqref="M207">
    <cfRule type="expression" dxfId="0" priority="19" stopIfTrue="1">
      <formula>J207=0</formula>
    </cfRule>
  </conditionalFormatting>
  <conditionalFormatting sqref="M207">
    <cfRule type="expression" dxfId="1" priority="20" stopIfTrue="1">
      <formula>AND(J207&gt;0,J207&lt;0.5)</formula>
    </cfRule>
  </conditionalFormatting>
  <conditionalFormatting sqref="M207">
    <cfRule type="expression" dxfId="2" priority="21" stopIfTrue="1">
      <formula>+J207&gt;=0.5</formula>
    </cfRule>
  </conditionalFormatting>
  <conditionalFormatting sqref="M208:M209">
    <cfRule type="expression" dxfId="0" priority="22" stopIfTrue="1">
      <formula>J208=0</formula>
    </cfRule>
  </conditionalFormatting>
  <conditionalFormatting sqref="M208:M209">
    <cfRule type="expression" dxfId="1" priority="23" stopIfTrue="1">
      <formula>AND(J208&gt;0,J208&lt;0.5)</formula>
    </cfRule>
  </conditionalFormatting>
  <conditionalFormatting sqref="M208:M209">
    <cfRule type="expression" dxfId="2" priority="24" stopIfTrue="1">
      <formula>+J208&gt;=0.5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32.86"/>
    <col customWidth="1" min="5" max="5" width="58.71"/>
    <col customWidth="1" min="6" max="6" width="17.29"/>
    <col customWidth="1" min="7" max="8" width="16.86"/>
    <col customWidth="1" min="9" max="9" width="17.14"/>
    <col customWidth="1" min="10" max="10" width="16.57"/>
    <col customWidth="1" min="11" max="11" width="17.0"/>
    <col customWidth="1" min="12" max="12" width="30.0"/>
    <col customWidth="1" min="13" max="13" width="16.14"/>
    <col customWidth="1" min="14" max="26" width="10.71"/>
  </cols>
  <sheetData>
    <row r="2">
      <c r="D2" s="1" t="s">
        <v>0</v>
      </c>
      <c r="E2" s="3"/>
      <c r="F2" s="3"/>
      <c r="G2" s="3"/>
      <c r="H2" s="3"/>
      <c r="I2" s="3"/>
      <c r="J2" s="3"/>
      <c r="K2" s="3"/>
      <c r="L2" s="3"/>
      <c r="M2" s="4"/>
    </row>
    <row r="3">
      <c r="D3" s="5" t="s">
        <v>4</v>
      </c>
      <c r="E3" s="5" t="s">
        <v>5</v>
      </c>
      <c r="F3" s="5" t="s">
        <v>6</v>
      </c>
      <c r="G3" s="5" t="s">
        <v>7</v>
      </c>
      <c r="H3" s="5"/>
      <c r="I3" s="5" t="s">
        <v>9</v>
      </c>
      <c r="J3" s="5" t="s">
        <v>10</v>
      </c>
      <c r="K3" s="5" t="s">
        <v>11</v>
      </c>
      <c r="L3" s="5" t="s">
        <v>13</v>
      </c>
      <c r="M3" s="5" t="s">
        <v>14</v>
      </c>
    </row>
    <row r="4">
      <c r="D4" s="10" t="s">
        <v>100</v>
      </c>
      <c r="E4" s="259" t="s">
        <v>465</v>
      </c>
      <c r="F4" s="14"/>
      <c r="G4" s="14">
        <v>50.0</v>
      </c>
      <c r="H4" s="14">
        <v>0.0</v>
      </c>
      <c r="I4" s="14"/>
      <c r="J4" s="14"/>
      <c r="K4" s="14"/>
      <c r="L4" s="14"/>
      <c r="M4" s="14" t="s">
        <v>211</v>
      </c>
    </row>
    <row r="5">
      <c r="D5" s="10" t="s">
        <v>100</v>
      </c>
      <c r="E5" s="259" t="s">
        <v>468</v>
      </c>
      <c r="F5" s="14"/>
      <c r="G5" s="14">
        <v>2.0</v>
      </c>
      <c r="H5" s="14">
        <v>0.0</v>
      </c>
      <c r="I5" s="14"/>
      <c r="J5" s="14"/>
      <c r="K5" s="14"/>
      <c r="L5" s="14"/>
      <c r="M5" s="14" t="s">
        <v>513</v>
      </c>
    </row>
    <row r="6">
      <c r="D6" s="10" t="s">
        <v>100</v>
      </c>
      <c r="E6" s="259" t="s">
        <v>469</v>
      </c>
      <c r="F6" s="14"/>
      <c r="G6" s="14">
        <v>2.0</v>
      </c>
      <c r="H6" s="14">
        <v>0.0</v>
      </c>
      <c r="I6" s="14"/>
      <c r="J6" s="14"/>
      <c r="K6" s="14"/>
      <c r="L6" s="14"/>
      <c r="M6" s="14" t="s">
        <v>513</v>
      </c>
    </row>
    <row r="7">
      <c r="D7" s="10" t="s">
        <v>515</v>
      </c>
      <c r="E7" s="259" t="s">
        <v>516</v>
      </c>
      <c r="F7" s="14"/>
      <c r="G7" s="14">
        <v>10.0</v>
      </c>
      <c r="H7" s="14">
        <v>0.0</v>
      </c>
      <c r="I7" s="14"/>
      <c r="J7" s="14"/>
      <c r="K7" s="14"/>
      <c r="L7" s="14"/>
      <c r="M7" s="14" t="s">
        <v>211</v>
      </c>
    </row>
    <row r="8">
      <c r="D8" s="10" t="s">
        <v>517</v>
      </c>
      <c r="E8" s="259" t="s">
        <v>518</v>
      </c>
      <c r="F8" s="14"/>
      <c r="G8" s="14">
        <v>100.0</v>
      </c>
      <c r="H8" s="14">
        <v>735.0</v>
      </c>
      <c r="I8" s="14"/>
      <c r="J8" s="14"/>
      <c r="K8" s="14"/>
      <c r="L8" s="14" t="s">
        <v>519</v>
      </c>
      <c r="M8" s="14" t="s">
        <v>211</v>
      </c>
    </row>
    <row r="9">
      <c r="D9" s="10" t="s">
        <v>493</v>
      </c>
      <c r="E9" s="259" t="s">
        <v>520</v>
      </c>
      <c r="F9" s="14"/>
      <c r="G9" s="14">
        <v>5.0</v>
      </c>
      <c r="H9" s="14">
        <v>18.0</v>
      </c>
      <c r="I9" s="14"/>
      <c r="J9" s="14"/>
      <c r="K9" s="14"/>
      <c r="L9" s="14"/>
      <c r="M9" s="14" t="s">
        <v>211</v>
      </c>
    </row>
    <row r="10">
      <c r="D10" s="10" t="s">
        <v>523</v>
      </c>
      <c r="E10" s="259" t="s">
        <v>524</v>
      </c>
      <c r="F10" s="14"/>
      <c r="G10" s="14">
        <v>10.0</v>
      </c>
      <c r="H10" s="14">
        <v>3.0</v>
      </c>
      <c r="I10" s="14"/>
      <c r="J10" s="14"/>
      <c r="K10" s="14"/>
      <c r="L10" s="14"/>
      <c r="M10" s="14" t="s">
        <v>26</v>
      </c>
    </row>
    <row r="11">
      <c r="D11" s="10" t="s">
        <v>523</v>
      </c>
      <c r="E11" s="259" t="s">
        <v>526</v>
      </c>
      <c r="F11" s="14"/>
      <c r="G11" s="14">
        <v>10.0</v>
      </c>
      <c r="H11" s="14">
        <v>75.0</v>
      </c>
      <c r="I11" s="14"/>
      <c r="J11" s="14"/>
      <c r="K11" s="14"/>
      <c r="L11" s="14"/>
      <c r="M11" s="14" t="s">
        <v>26</v>
      </c>
    </row>
    <row r="12">
      <c r="D12" s="10" t="s">
        <v>523</v>
      </c>
      <c r="E12" s="259" t="s">
        <v>529</v>
      </c>
      <c r="F12" s="14"/>
      <c r="G12" s="14">
        <v>10.0</v>
      </c>
      <c r="H12" s="14">
        <v>98.0</v>
      </c>
      <c r="I12" s="14"/>
      <c r="J12" s="14"/>
      <c r="K12" s="14"/>
      <c r="L12" s="14" t="s">
        <v>530</v>
      </c>
      <c r="M12" s="14" t="s">
        <v>26</v>
      </c>
    </row>
    <row r="13">
      <c r="D13" s="10" t="s">
        <v>523</v>
      </c>
      <c r="E13" s="259" t="s">
        <v>531</v>
      </c>
      <c r="F13" s="14"/>
      <c r="G13" s="14">
        <v>10.0</v>
      </c>
      <c r="H13" s="14">
        <v>30.0</v>
      </c>
      <c r="I13" s="14"/>
      <c r="J13" s="14"/>
      <c r="K13" s="14"/>
      <c r="L13" s="14" t="s">
        <v>530</v>
      </c>
      <c r="M13" s="14" t="s">
        <v>26</v>
      </c>
    </row>
    <row r="14">
      <c r="D14" s="10" t="s">
        <v>523</v>
      </c>
      <c r="E14" s="259" t="s">
        <v>534</v>
      </c>
      <c r="F14" s="14"/>
      <c r="G14" s="14">
        <v>10.0</v>
      </c>
      <c r="H14" s="14">
        <v>35.0</v>
      </c>
      <c r="I14" s="14"/>
      <c r="J14" s="14"/>
      <c r="K14" s="14"/>
      <c r="L14" s="14" t="s">
        <v>530</v>
      </c>
      <c r="M14" s="14" t="s">
        <v>26</v>
      </c>
    </row>
    <row r="15">
      <c r="D15" s="10" t="s">
        <v>523</v>
      </c>
      <c r="E15" s="259" t="s">
        <v>537</v>
      </c>
      <c r="F15" s="14"/>
      <c r="G15" s="14">
        <v>10.0</v>
      </c>
      <c r="H15" s="14">
        <v>40.0</v>
      </c>
      <c r="I15" s="14"/>
      <c r="J15" s="14"/>
      <c r="K15" s="14"/>
      <c r="L15" s="14"/>
      <c r="M15" s="14"/>
    </row>
    <row r="16">
      <c r="D16" s="10" t="s">
        <v>523</v>
      </c>
      <c r="E16" s="259" t="s">
        <v>539</v>
      </c>
      <c r="F16" s="14"/>
      <c r="G16" s="14">
        <v>10.0</v>
      </c>
      <c r="H16" s="14">
        <v>16.0</v>
      </c>
      <c r="I16" s="14"/>
      <c r="J16" s="14"/>
      <c r="K16" s="14"/>
      <c r="L16" s="14"/>
      <c r="M16" s="14"/>
    </row>
    <row r="17">
      <c r="D17" s="10" t="s">
        <v>540</v>
      </c>
      <c r="E17" s="259" t="s">
        <v>541</v>
      </c>
      <c r="F17" s="14"/>
      <c r="G17" s="14">
        <v>10.0</v>
      </c>
      <c r="H17" s="14">
        <v>90.0</v>
      </c>
      <c r="I17" s="14"/>
      <c r="J17" s="14"/>
      <c r="K17" s="14"/>
      <c r="L17" s="14"/>
      <c r="M17" s="14" t="s">
        <v>26</v>
      </c>
    </row>
    <row r="18">
      <c r="D18" s="10" t="s">
        <v>346</v>
      </c>
      <c r="E18" s="259" t="s">
        <v>544</v>
      </c>
      <c r="F18" s="14"/>
      <c r="G18" s="14">
        <v>10.0</v>
      </c>
      <c r="H18" s="14">
        <v>3.0</v>
      </c>
      <c r="I18" s="14"/>
      <c r="J18" s="14"/>
      <c r="K18" s="14"/>
      <c r="L18" s="14"/>
      <c r="M18" s="14" t="s">
        <v>211</v>
      </c>
    </row>
    <row r="19">
      <c r="D19" s="10" t="s">
        <v>346</v>
      </c>
      <c r="E19" s="259" t="s">
        <v>547</v>
      </c>
      <c r="F19" s="14"/>
      <c r="G19" s="14">
        <v>10.0</v>
      </c>
      <c r="H19" s="14">
        <v>2.0</v>
      </c>
      <c r="I19" s="14"/>
      <c r="J19" s="14"/>
      <c r="K19" s="14"/>
      <c r="L19" s="14" t="s">
        <v>114</v>
      </c>
      <c r="M19" s="14" t="s">
        <v>211</v>
      </c>
    </row>
    <row r="20">
      <c r="D20" s="10" t="s">
        <v>346</v>
      </c>
      <c r="E20" s="259" t="s">
        <v>547</v>
      </c>
      <c r="F20" s="14"/>
      <c r="G20" s="14">
        <v>10.0</v>
      </c>
      <c r="H20" s="14">
        <v>1.0</v>
      </c>
      <c r="I20" s="14"/>
      <c r="J20" s="14"/>
      <c r="K20" s="14"/>
      <c r="L20" s="14" t="s">
        <v>549</v>
      </c>
      <c r="M20" s="14" t="s">
        <v>211</v>
      </c>
    </row>
    <row r="21" ht="15.75" customHeight="1">
      <c r="D21" s="10" t="s">
        <v>100</v>
      </c>
      <c r="E21" s="259" t="s">
        <v>550</v>
      </c>
      <c r="F21" s="14"/>
      <c r="G21" s="14">
        <v>5.0</v>
      </c>
      <c r="H21" s="14">
        <v>0.0</v>
      </c>
      <c r="I21" s="14"/>
      <c r="J21" s="14"/>
      <c r="K21" s="14"/>
      <c r="L21" s="14"/>
      <c r="M21" s="14"/>
    </row>
    <row r="22" ht="15.75" customHeight="1">
      <c r="D22" s="10" t="s">
        <v>374</v>
      </c>
      <c r="E22" s="259" t="s">
        <v>20</v>
      </c>
      <c r="F22" s="14"/>
      <c r="G22" s="14">
        <v>10.0</v>
      </c>
      <c r="H22" s="14">
        <v>10.0</v>
      </c>
      <c r="I22" s="14"/>
      <c r="J22" s="14"/>
      <c r="K22" s="14"/>
      <c r="L22" s="14"/>
      <c r="M22" s="14"/>
    </row>
    <row r="23" ht="15.75" customHeight="1">
      <c r="D23" s="10" t="s">
        <v>98</v>
      </c>
      <c r="E23" s="259" t="s">
        <v>554</v>
      </c>
      <c r="F23" s="14"/>
      <c r="G23" s="14">
        <v>10.0</v>
      </c>
      <c r="H23" s="14">
        <v>11.0</v>
      </c>
      <c r="I23" s="14"/>
      <c r="J23" s="14"/>
      <c r="K23" s="14"/>
      <c r="L23" s="14" t="s">
        <v>555</v>
      </c>
      <c r="M23" s="14"/>
    </row>
    <row r="24" ht="15.75" customHeight="1">
      <c r="D24" s="10" t="s">
        <v>556</v>
      </c>
      <c r="E24" s="259" t="s">
        <v>557</v>
      </c>
      <c r="F24" s="14"/>
      <c r="G24" s="14">
        <v>1.4</v>
      </c>
      <c r="H24" s="14">
        <v>1.4</v>
      </c>
      <c r="I24" s="14"/>
      <c r="J24" s="14"/>
      <c r="K24" s="14"/>
      <c r="L24" s="14"/>
      <c r="M24" s="14"/>
    </row>
    <row r="25" ht="15.75" customHeight="1">
      <c r="D25" s="10"/>
      <c r="E25" s="259"/>
      <c r="F25" s="14"/>
      <c r="G25" s="14"/>
      <c r="H25" s="14"/>
      <c r="I25" s="14"/>
      <c r="J25" s="14"/>
      <c r="K25" s="14">
        <f t="shared" ref="K25:K37" si="1">+(G25+I25)-J25</f>
        <v>0</v>
      </c>
      <c r="L25" s="14"/>
      <c r="M25" s="14"/>
    </row>
    <row r="26" ht="15.75" customHeight="1">
      <c r="D26" s="10"/>
      <c r="E26" s="259"/>
      <c r="F26" s="14"/>
      <c r="G26" s="14"/>
      <c r="H26" s="14"/>
      <c r="I26" s="14"/>
      <c r="J26" s="14"/>
      <c r="K26" s="14">
        <f t="shared" si="1"/>
        <v>0</v>
      </c>
      <c r="L26" s="14"/>
      <c r="M26" s="14"/>
    </row>
    <row r="27" ht="15.75" customHeight="1">
      <c r="D27" s="10"/>
      <c r="E27" s="259"/>
      <c r="F27" s="14"/>
      <c r="G27" s="14"/>
      <c r="H27" s="14"/>
      <c r="I27" s="14"/>
      <c r="J27" s="14"/>
      <c r="K27" s="14">
        <f t="shared" si="1"/>
        <v>0</v>
      </c>
      <c r="L27" s="14"/>
      <c r="M27" s="14"/>
    </row>
    <row r="28" ht="15.75" customHeight="1">
      <c r="D28" s="10"/>
      <c r="E28" s="259"/>
      <c r="F28" s="14"/>
      <c r="G28" s="14"/>
      <c r="H28" s="14"/>
      <c r="I28" s="14"/>
      <c r="J28" s="14"/>
      <c r="K28" s="14">
        <f t="shared" si="1"/>
        <v>0</v>
      </c>
      <c r="L28" s="14"/>
      <c r="M28" s="14"/>
    </row>
    <row r="29" ht="15.75" customHeight="1">
      <c r="D29" s="10"/>
      <c r="E29" s="259"/>
      <c r="F29" s="14"/>
      <c r="G29" s="14"/>
      <c r="H29" s="14"/>
      <c r="I29" s="14"/>
      <c r="J29" s="14"/>
      <c r="K29" s="14">
        <f t="shared" si="1"/>
        <v>0</v>
      </c>
      <c r="L29" s="14"/>
      <c r="M29" s="14"/>
    </row>
    <row r="30" ht="15.75" customHeight="1">
      <c r="D30" s="10"/>
      <c r="E30" s="259"/>
      <c r="F30" s="14"/>
      <c r="G30" s="14"/>
      <c r="H30" s="14"/>
      <c r="I30" s="14"/>
      <c r="J30" s="14"/>
      <c r="K30" s="14">
        <f t="shared" si="1"/>
        <v>0</v>
      </c>
      <c r="L30" s="14"/>
      <c r="M30" s="14"/>
    </row>
    <row r="31" ht="15.75" customHeight="1">
      <c r="D31" s="10"/>
      <c r="E31" s="259"/>
      <c r="F31" s="14"/>
      <c r="G31" s="14"/>
      <c r="H31" s="14"/>
      <c r="I31" s="14"/>
      <c r="J31" s="14"/>
      <c r="K31" s="14">
        <f t="shared" si="1"/>
        <v>0</v>
      </c>
      <c r="L31" s="14"/>
      <c r="M31" s="14"/>
    </row>
    <row r="32" ht="15.75" customHeight="1">
      <c r="D32" s="10"/>
      <c r="E32" s="259"/>
      <c r="F32" s="14"/>
      <c r="G32" s="14"/>
      <c r="H32" s="14"/>
      <c r="I32" s="14"/>
      <c r="J32" s="14"/>
      <c r="K32" s="14">
        <f t="shared" si="1"/>
        <v>0</v>
      </c>
      <c r="L32" s="14"/>
      <c r="M32" s="14"/>
    </row>
    <row r="33" ht="15.75" customHeight="1">
      <c r="D33" s="10"/>
      <c r="E33" s="259"/>
      <c r="F33" s="14"/>
      <c r="G33" s="14"/>
      <c r="H33" s="14"/>
      <c r="I33" s="14"/>
      <c r="J33" s="14"/>
      <c r="K33" s="14">
        <f t="shared" si="1"/>
        <v>0</v>
      </c>
      <c r="L33" s="14"/>
      <c r="M33" s="14"/>
    </row>
    <row r="34" ht="15.75" customHeight="1">
      <c r="D34" s="10"/>
      <c r="E34" s="259"/>
      <c r="F34" s="14"/>
      <c r="G34" s="14"/>
      <c r="H34" s="14"/>
      <c r="I34" s="14"/>
      <c r="J34" s="14"/>
      <c r="K34" s="14">
        <f t="shared" si="1"/>
        <v>0</v>
      </c>
      <c r="L34" s="14"/>
      <c r="M34" s="14"/>
    </row>
    <row r="35" ht="15.75" customHeight="1">
      <c r="D35" s="10"/>
      <c r="E35" s="259"/>
      <c r="F35" s="14"/>
      <c r="G35" s="14"/>
      <c r="H35" s="14"/>
      <c r="I35" s="14"/>
      <c r="J35" s="14"/>
      <c r="K35" s="14">
        <f t="shared" si="1"/>
        <v>0</v>
      </c>
      <c r="L35" s="14"/>
      <c r="M35" s="14"/>
    </row>
    <row r="36" ht="15.75" customHeight="1">
      <c r="D36" s="10"/>
      <c r="E36" s="259"/>
      <c r="F36" s="14"/>
      <c r="G36" s="14"/>
      <c r="H36" s="14"/>
      <c r="I36" s="14"/>
      <c r="J36" s="14"/>
      <c r="K36" s="14">
        <f t="shared" si="1"/>
        <v>0</v>
      </c>
      <c r="L36" s="14"/>
      <c r="M36" s="14"/>
    </row>
    <row r="37" ht="15.75" customHeight="1">
      <c r="D37" s="10"/>
      <c r="E37" s="259"/>
      <c r="F37" s="14"/>
      <c r="G37" s="14"/>
      <c r="H37" s="14"/>
      <c r="I37" s="14"/>
      <c r="J37" s="14"/>
      <c r="K37" s="14">
        <f t="shared" si="1"/>
        <v>0</v>
      </c>
      <c r="L37" s="14"/>
      <c r="M37" s="14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M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2.43"/>
  </cols>
  <sheetData>
    <row r="1" ht="29.25" customHeight="1"/>
    <row r="3" ht="22.5" customHeight="1">
      <c r="A3" s="260" t="s">
        <v>5</v>
      </c>
      <c r="B3" s="260" t="s">
        <v>10</v>
      </c>
    </row>
    <row r="4" ht="22.5" customHeight="1">
      <c r="A4" s="261" t="s">
        <v>309</v>
      </c>
      <c r="B4" s="262">
        <v>86.0</v>
      </c>
    </row>
    <row r="5" ht="22.5" customHeight="1">
      <c r="A5" s="261" t="s">
        <v>300</v>
      </c>
      <c r="B5" s="262">
        <v>78.0</v>
      </c>
    </row>
    <row r="6" ht="22.5" customHeight="1">
      <c r="A6" s="261" t="s">
        <v>306</v>
      </c>
      <c r="B6" s="262">
        <v>49.0</v>
      </c>
    </row>
    <row r="7" ht="22.5" customHeight="1">
      <c r="A7" s="261" t="s">
        <v>474</v>
      </c>
      <c r="B7" s="262">
        <v>23.0</v>
      </c>
    </row>
    <row r="8" ht="22.5" customHeight="1">
      <c r="A8" s="261" t="s">
        <v>466</v>
      </c>
      <c r="B8" s="262">
        <v>26.0</v>
      </c>
    </row>
  </sheetData>
  <dataValidations>
    <dataValidation type="custom" allowBlank="1" showDropDown="1" sqref="B4:B8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2026-01-09T01:38:56Z</dcterms:created>
  <dc:creator>jhon michael montes cardonas</dc:creator>
</cp:coreProperties>
</file>