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8_{C040F4A7-B355-4C57-AA2E-6EAD81772134}" xr6:coauthVersionLast="45" xr6:coauthVersionMax="45" xr10:uidLastSave="{00000000-0000-0000-0000-000000000000}"/>
  <bookViews>
    <workbookView xWindow="-120" yWindow="-120" windowWidth="29040" windowHeight="15720" tabRatio="929" xr2:uid="{4A090032-0E8D-48E4-BD8D-42171813839F}"/>
  </bookViews>
  <sheets>
    <sheet name="Orden perfecta" sheetId="3" r:id="rId1"/>
    <sheet name="CAUSAS" sheetId="5" r:id="rId2"/>
    <sheet name="EX Ishikawa" sheetId="8" r:id="rId3"/>
    <sheet name="Estrategias1" sheetId="9" r:id="rId4"/>
    <sheet name="Estartegias2" sheetId="4"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#REF!,#REF!,#REF!,#REF!</definedName>
    <definedName name="_1_">#REF!</definedName>
    <definedName name="_2_">#REF!</definedName>
    <definedName name="_3">#REF!</definedName>
    <definedName name="_3ÿÿÿ_0_0">[1]TOM!#REF!,[1]TOM!#REF!,[1]TOM!#REF!,[1]TOM!#REF!</definedName>
    <definedName name="_xlnm._FilterDatabase" localSheetId="1" hidden="1">CAUSAS!$B$4:$G$4</definedName>
    <definedName name="_MailAutoSig">#REF!</definedName>
    <definedName name="Alto">[2]Hoja1!$D$10</definedName>
    <definedName name="Alto1">[2]Hoja1!$F$10</definedName>
    <definedName name="Alto3">[2]Hoja1!$F$13</definedName>
    <definedName name="Alto4">[2]Hoja1!$F$16</definedName>
    <definedName name="Alto5">[2]Hoja1!$F$19</definedName>
    <definedName name="AMENAZARAS">#REF!</definedName>
    <definedName name="año">FALSE</definedName>
    <definedName name="AQRN">[3]BOSB56!#REF!</definedName>
    <definedName name="_xlnm.Print_Area" localSheetId="2">'EX Ishikawa'!$A$1:$U$34</definedName>
    <definedName name="_xlnm.Print_Area">[4]Hoja1!$A$2:$M$67</definedName>
    <definedName name="ARRIBA3C">#REF!</definedName>
    <definedName name="ARRIBACANVAS">#REF!</definedName>
    <definedName name="ARRIBACANVASTRES">#REF!</definedName>
    <definedName name="ARRIBAINI">#REF!</definedName>
    <definedName name="asdasd">#REF!</definedName>
    <definedName name="Bajo1">[2]Hoja1!$F$11</definedName>
    <definedName name="Bajo2">[2]Hoja1!$F$14</definedName>
    <definedName name="Bajo3">[2]Hoja1!$F$17</definedName>
    <definedName name="bueno">#REF!</definedName>
    <definedName name="BUSCARMES">[5]sb!$E$13:$E$24</definedName>
    <definedName name="C00">#REF!</definedName>
    <definedName name="calcul">[6]Macro1!$E$1</definedName>
    <definedName name="CANVAS">#REF!</definedName>
    <definedName name="CANVASCANVAS">#REF!</definedName>
    <definedName name="CANVASDOS">#REF!</definedName>
    <definedName name="CANVASUNO">#REF!</definedName>
    <definedName name="CATEGORIA">[7]Listas!$B$4:$B$9</definedName>
    <definedName name="ccss_heestr_mod">[8]tasas!$C$14</definedName>
    <definedName name="ccss_heestr_moi">[8]tasas!$E$14</definedName>
    <definedName name="ccss_heestr_mom">[8]tasas!$G$14</definedName>
    <definedName name="ccss_henorm_mod">[8]tasas!$C$10</definedName>
    <definedName name="ccss_henorm_moi">[8]tasas!$E$10</definedName>
    <definedName name="ccss_henorm_mom">[8]tasas!$G$10</definedName>
    <definedName name="control">"a"</definedName>
    <definedName name="control_bucle">"aa"</definedName>
    <definedName name="CUADROCOMENTADO">#REF!</definedName>
    <definedName name="CUADROUNO">#REF!</definedName>
    <definedName name="cuenta_abono">FALSE</definedName>
    <definedName name="cuenta_cargo_empl">FALSE</definedName>
    <definedName name="cuenta_cargo_obr">FALSE</definedName>
    <definedName name="D">#REF!</definedName>
    <definedName name="dasd">[1]TOM!#REF!,[1]TOM!#REF!,[1]TOM!#REF!,[1]TOM!#REF!</definedName>
    <definedName name="DateMaJ">#REF!</definedName>
    <definedName name="DateMaJA">#REF!</definedName>
    <definedName name="DateMAJAA">#REF!</definedName>
    <definedName name="DateMaJED">#REF!</definedName>
    <definedName name="DateMaJF">#REF!</definedName>
    <definedName name="Datos" localSheetId="3">[9]Hoja1!$B$3:$B$6</definedName>
    <definedName name="Datos">#REF!</definedName>
    <definedName name="Dev">#REF!</definedName>
    <definedName name="dia">31</definedName>
    <definedName name="Dias">[10]!TDias[Día]</definedName>
    <definedName name="Dimensiones">[11]Listas!$A$2:$A$7</definedName>
    <definedName name="Especialistas">[11]Listas!$C$2:$C$18</definedName>
    <definedName name="Est">[2]PUNTUACION!$D$4</definedName>
    <definedName name="Estado">[11]Listas!$G$2:$G$5</definedName>
    <definedName name="estimée_en_K">#REF!</definedName>
    <definedName name="Estrategia">'[2]DIAGNOSTICO CADENAS PRODUCT'!$H$8:$H$12</definedName>
    <definedName name="Euro">#REF!</definedName>
    <definedName name="fecha">310397</definedName>
    <definedName name="gainkpm">#REF!</definedName>
    <definedName name="GC">[12]PUNTUACION!$E$9</definedName>
    <definedName name="Gestión_comercial">[13]Indicadores!#REF!</definedName>
    <definedName name="Global">'[2]DIAGNOSTICO CADENAS PRODUCT'!$H$49</definedName>
    <definedName name="GOBERNANZA">'[12]DIAGNOSTICO CADENAS PRODUCT'!$H$46:$H$49</definedName>
    <definedName name="_xlnm.Recorder">#REF!</definedName>
    <definedName name="Grafico">[14]Hoja1!$A$1:$M$52</definedName>
    <definedName name="HTML_CodePage" hidden="1">1252</definedName>
    <definedName name="HTML_Control" localSheetId="3" hidden="1">{"'Verr-enseig-ex'!$M$22:$M$23"}</definedName>
    <definedName name="HTML_Control" localSheetId="2" hidden="1">{"'Verr-enseig-ex'!$M$22:$M$23"}</definedName>
    <definedName name="HTML_Control" hidden="1">{"'Verr-enseig-ex'!$M$22:$M$23"}</definedName>
    <definedName name="HTML_Description" hidden="1">""</definedName>
    <definedName name="HTML_Email" hidden="1">""</definedName>
    <definedName name="HTML_Header" hidden="1">"Verr-enseig-ex"</definedName>
    <definedName name="HTML_LastUpdate" hidden="1">"28/07/99"</definedName>
    <definedName name="HTML_LineAfter" hidden="1">FALSE</definedName>
    <definedName name="HTML_LineBefore" hidden="1">FALSE</definedName>
    <definedName name="HTML_Name" hidden="1">"Lee H. Troup"</definedName>
    <definedName name="HTML_OBDlg2" hidden="1">TRUE</definedName>
    <definedName name="HTML_OBDlg4" hidden="1">TRUE</definedName>
    <definedName name="HTML_OS" hidden="1">0</definedName>
    <definedName name="HTML_PathFile" hidden="1">"C:\Mes documents\MonHTML.htm"</definedName>
    <definedName name="HTML_Title" hidden="1">"Problem-solving"</definedName>
    <definedName name="IJ">#REF!</definedName>
    <definedName name="INFOCANVASDOS">#REF!</definedName>
    <definedName name="INFOCANVASTRES">#REF!</definedName>
    <definedName name="informe_mes">"SI"</definedName>
    <definedName name="informe_mes_1">"NO"</definedName>
    <definedName name="infotresce">#REF!</definedName>
    <definedName name="Inn">[2]PUNTUACION!$D$7</definedName>
    <definedName name="Innovación">'[2]DIAGNOSTICO CADENAS PRODUCT'!$H$31:$H$39</definedName>
    <definedName name="InputsBalance_MY">[15]MultiYear!$H$121:$R$126,[15]MultiYear!$H$130:$R$133,[15]MultiYear!$H$137:$R$138,[15]MultiYear!$H$142:$R$142,[15]MultiYear!$H$144:$R$144,[15]MultiYear!$H$151:$R$157,[15]MultiYear!$H$161:$R$162,[15]MultiYear!$H$170:$R$172</definedName>
    <definedName name="InputsIncome_MY">[15]MultiYear!$H$77:$R$78,[15]MultiYear!$H$82:$R$83,[15]MultiYear!$H$89:$R$90,[15]MultiYear!$H$98:$R$99</definedName>
    <definedName name="InputsSCFP_MY">[15]MultiYear!$H$213:$R$213,[15]MultiYear!$H$221:$R$221,[15]MultiYear!$H$226:$R$226,[15]MultiYear!$H$228:$R$228,[15]MultiYear!$H$240:$R$241,[15]MultiYear!$H$243:$R$243,[15]MultiYear!$H$245:$R$245,[15]MultiYear!$H$247:$R$248</definedName>
    <definedName name="Insuficiente">[2]Hoja1!$D$8</definedName>
    <definedName name="Insuficiente1">[2]Hoja1!$F$8</definedName>
    <definedName name="INTENSIDAD">#REF!</definedName>
    <definedName name="JH">#REF!,#REF!,#REF!,#REF!</definedName>
    <definedName name="jhkjhk">#REF!,#REF!,#REF!,#REF!</definedName>
    <definedName name="libro">"SITUESPE.XLS"</definedName>
    <definedName name="Logomarca">#REF!</definedName>
    <definedName name="maquinas">#REF!</definedName>
    <definedName name="MATRIZ1">'[16]Información del proveedor'!$A$3:$AA$22</definedName>
    <definedName name="MATRIZ2">'[16]Información del proveedor'!$A$28:$K$47</definedName>
    <definedName name="Medio">[2]Hoja1!$D$9</definedName>
    <definedName name="Medio1">[2]Hoja1!$F$9</definedName>
    <definedName name="Medio2">[2]Hoja1!$F$12</definedName>
    <definedName name="Medio3">[2]Hoja1!$F$15</definedName>
    <definedName name="Medio4">[2]Hoja1!$F$18</definedName>
    <definedName name="Mej">[2]PUNTUACION!$D$6</definedName>
    <definedName name="MejoraContinua">'[2]DIAGNOSTICO CADENAS PRODUCT'!$H$24:$H$30</definedName>
    <definedName name="Mes">[10]!TMeses[Mes]</definedName>
    <definedName name="mmm">"ENE"</definedName>
    <definedName name="mois">FALSE</definedName>
    <definedName name="NF">[1]TOM!#REF!,[1]TOM!#REF!,[1]TOM!#REF!,[1]TOM!#REF!</definedName>
    <definedName name="NomAffaire">#REF!</definedName>
    <definedName name="NomSociété">#REF!</definedName>
    <definedName name="NuevaMatriz">#REF!</definedName>
    <definedName name="numero_columnas">FALSE</definedName>
    <definedName name="NUMES">[5]sb!$D$13:$D$24</definedName>
    <definedName name="Para_la_empresa_cliente_y_el_desarrollo_de_sus_proveedores_se_detecta_no_se_implementan_suficientes_acciones_que_van_en_pro_de_la_apropiación_y_adopción_de_conocimientos_de_innovación_y_tecnología_permite_una_mejora_en_los_procesos.__Para_fomentar_la_inno">#REF!</definedName>
    <definedName name="Plana_1_Aguja">#REF!</definedName>
    <definedName name="plus_fest_mod">[8]tasas!$C$24</definedName>
    <definedName name="plus_fest_moi">[8]tasas!$E$24</definedName>
    <definedName name="plus_fest_mom">[8]tasas!$G$24</definedName>
    <definedName name="plus_guar_mod">[8]tasas!$C$28</definedName>
    <definedName name="plus_guar_moi">[8]tasas!$E$28</definedName>
    <definedName name="plus_guar_mom">[8]tasas!$G$28</definedName>
    <definedName name="plus_noct_mod">[8]tasas!$C$20</definedName>
    <definedName name="plus_noct_moi">[8]tasas!$E$20</definedName>
    <definedName name="plus_noct_mom">[8]tasas!$G$20</definedName>
    <definedName name="POSITION">#REF!</definedName>
    <definedName name="prima_sab_mod">[8]tasas!$C$16</definedName>
    <definedName name="prima_sab_moi">[8]tasas!$E$16</definedName>
    <definedName name="prima_sab_mom">[8]tasas!$G$16</definedName>
    <definedName name="Pro">[2]PUNTUACION!$D$5</definedName>
    <definedName name="ProductividadOperacional">'[2]DIAGNOSTICO CADENAS PRODUCT'!$H$13:$H$23</definedName>
    <definedName name="Profesionales">[11]Listas!$E$2:$E$5</definedName>
    <definedName name="RR">[3]BOSB56!#REF!</definedName>
    <definedName name="sa">#REF!</definedName>
    <definedName name="sal_he_mod">[8]tasas!$C$9</definedName>
    <definedName name="sal_he_moi">[8]tasas!$E$9</definedName>
    <definedName name="sal_he_mom">[8]tasas!$G$9</definedName>
    <definedName name="sal_JT_mod">[8]tasas!$C$4</definedName>
    <definedName name="sal_JT_moi">[8]tasas!$E$4</definedName>
    <definedName name="sal_JT_mom">[8]tasas!$G$4</definedName>
    <definedName name="sas">#REF!</definedName>
    <definedName name="sasa">#REF!</definedName>
    <definedName name="sd">#REF!,#REF!,#REF!,#REF!</definedName>
    <definedName name="sdfsdf">#REF!</definedName>
    <definedName name="sdfwfwef">#REF!</definedName>
    <definedName name="SELECCIÓN">[17]Hoja1!$D$10</definedName>
    <definedName name="Sos">[2]PUNTUACION!$D$8</definedName>
    <definedName name="Sostenibilidad">'[2]DIAGNOSTICO CADENAS PRODUCT'!$H$40:$H$46</definedName>
    <definedName name="tableau">#REF!,#REF!,#REF!,#REF!</definedName>
    <definedName name="taparb">'[18]QC STORY'!$O$19</definedName>
    <definedName name="taparj">'[18]QC STORY'!$O$22</definedName>
    <definedName name="Théme3">#REF!</definedName>
    <definedName name="Tipo_Indicador" localSheetId="3">'[19]DDP-P2-LB'!$Y$3:$Y$8</definedName>
    <definedName name="Tipo_Indicador">'[20]DDP-P2-LB'!$Y$3:$Y$8</definedName>
    <definedName name="tipo_provision">FALSE</definedName>
    <definedName name="TOTAL">#REF!</definedName>
    <definedName name="TProp">[10]!Proponente[Tipo proponente]</definedName>
    <definedName name="TProy">[10]!Proyecto[proyecto]</definedName>
    <definedName name="W">#REF!</definedName>
    <definedName name="ww">#REF!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6" i="5" l="1"/>
  <c r="D46" i="5"/>
  <c r="C46" i="5"/>
  <c r="M30" i="3" l="1"/>
  <c r="M29" i="3"/>
  <c r="L17" i="3"/>
  <c r="M17" i="3" s="1"/>
  <c r="L18" i="3"/>
  <c r="M18" i="3" s="1"/>
  <c r="L19" i="3"/>
  <c r="M19" i="3" s="1"/>
  <c r="L20" i="3"/>
  <c r="M20" i="3" s="1"/>
  <c r="L21" i="3"/>
  <c r="M21" i="3" s="1"/>
  <c r="L22" i="3"/>
  <c r="M22" i="3" s="1"/>
  <c r="L23" i="3"/>
  <c r="M23" i="3" s="1"/>
  <c r="L24" i="3"/>
  <c r="M24" i="3" s="1"/>
  <c r="L25" i="3"/>
  <c r="M25" i="3" s="1"/>
  <c r="L26" i="3"/>
  <c r="M26" i="3" s="1"/>
  <c r="K10" i="3"/>
  <c r="K6" i="3"/>
  <c r="M28" i="3" l="1"/>
  <c r="M33" i="3"/>
  <c r="M5" i="3"/>
  <c r="K13" i="3" s="1"/>
  <c r="K9" i="3"/>
  <c r="M9" i="3" s="1"/>
  <c r="M13" i="3" s="1"/>
  <c r="M32" i="3" l="1"/>
  <c r="M34" i="3" s="1"/>
  <c r="N13" i="3"/>
</calcChain>
</file>

<file path=xl/sharedStrings.xml><?xml version="1.0" encoding="utf-8"?>
<sst xmlns="http://schemas.openxmlformats.org/spreadsheetml/2006/main" count="233" uniqueCount="209">
  <si>
    <t>Cant. Pedidos entregados a tiempo</t>
  </si>
  <si>
    <t>Cantidad de pedidos entregados</t>
  </si>
  <si>
    <t xml:space="preserve">Cantidad pedidos completos, sin daños y defectos </t>
  </si>
  <si>
    <t>% entregas conformes (IN FULL) =</t>
  </si>
  <si>
    <t>Fecha pedido</t>
  </si>
  <si>
    <t># pedido</t>
  </si>
  <si>
    <t>Cliente</t>
  </si>
  <si>
    <t>Dirección</t>
  </si>
  <si>
    <t>fecha programada entrega</t>
  </si>
  <si>
    <t>PEDIDO 01</t>
  </si>
  <si>
    <t>PEDIDO 02</t>
  </si>
  <si>
    <t>PEDIDO 03</t>
  </si>
  <si>
    <t>PEDIDO 04</t>
  </si>
  <si>
    <t>PEDIDO 05</t>
  </si>
  <si>
    <t>PEDIDO 06</t>
  </si>
  <si>
    <t>PEDIDO 07</t>
  </si>
  <si>
    <t>PEDIDO 08</t>
  </si>
  <si>
    <t>PEDIDO 09</t>
  </si>
  <si>
    <t>PEDIDO 10</t>
  </si>
  <si>
    <t>CLIENT 1</t>
  </si>
  <si>
    <t>CLIENT 2</t>
  </si>
  <si>
    <t>CLIENT 3</t>
  </si>
  <si>
    <t>CLIENT 4</t>
  </si>
  <si>
    <t>CLIENT 5</t>
  </si>
  <si>
    <t>CLIENT 6</t>
  </si>
  <si>
    <t>CLIENT 7</t>
  </si>
  <si>
    <t>CLIENT 8</t>
  </si>
  <si>
    <t>CLIENT 9</t>
  </si>
  <si>
    <t>CLIENT 10</t>
  </si>
  <si>
    <t>DESTINO 1</t>
  </si>
  <si>
    <t>DESTINO 2</t>
  </si>
  <si>
    <t>DESTINO 3</t>
  </si>
  <si>
    <t>DESTINO 4</t>
  </si>
  <si>
    <t>DESTINO 5</t>
  </si>
  <si>
    <t>DESTINO 6</t>
  </si>
  <si>
    <t>DESTINO 7</t>
  </si>
  <si>
    <t>DESTINO 8</t>
  </si>
  <si>
    <t>DESTINO 9</t>
  </si>
  <si>
    <t>DESTINO 10</t>
  </si>
  <si>
    <t>CRA 45 # XX- XX</t>
  </si>
  <si>
    <t>F001-12</t>
  </si>
  <si>
    <t>F001-13</t>
  </si>
  <si>
    <t>F001-14</t>
  </si>
  <si>
    <t>F001-15</t>
  </si>
  <si>
    <t>F001-16</t>
  </si>
  <si>
    <t>F001-17</t>
  </si>
  <si>
    <t>F001-18</t>
  </si>
  <si>
    <t>F001-19</t>
  </si>
  <si>
    <t>F001-20</t>
  </si>
  <si>
    <t>F001-21</t>
  </si>
  <si>
    <t>% Entregas a tiempo (ON TIME) =</t>
  </si>
  <si>
    <t>Cliente destino</t>
  </si>
  <si>
    <t>% =</t>
  </si>
  <si>
    <t>%=</t>
  </si>
  <si>
    <t>x</t>
  </si>
  <si>
    <t>=</t>
  </si>
  <si>
    <t xml:space="preserve"> EVALUACIÓN</t>
  </si>
  <si>
    <t>Fecha real de entrega</t>
  </si>
  <si>
    <t>Entrega a tiempo (0/1)</t>
  </si>
  <si>
    <t>% OTIF=  (On time  &amp; In full) =</t>
  </si>
  <si>
    <t>MENOR DE 75%= Plan de choque- inmediato</t>
  </si>
  <si>
    <t>MAYOR DE 85%= Plan para mantener y mejorar- trabajo diario</t>
  </si>
  <si>
    <t>ENTRE 75%- 85= Plan de acción  corto plazo - trabajo diario</t>
  </si>
  <si>
    <t>CALCULO DE ORDEN PERFECTA = OTIF</t>
  </si>
  <si>
    <t># factura o remisión</t>
  </si>
  <si>
    <t>Establecer canales claros y frecuentes de comunicación para anticipar cambios en la demanda o problemas logísticos.</t>
  </si>
  <si>
    <t>Compartir pronósticos de ventas y planes de producción.</t>
  </si>
  <si>
    <t>2. Optimizar la gestión de inventarios</t>
  </si>
  <si>
    <t>Implementar sistemas de inventario en tiempo real.</t>
  </si>
  <si>
    <t>Mantener niveles de stock de seguridad para productos críticos.</t>
  </si>
  <si>
    <t>3. Planificación y programación eficiente</t>
  </si>
  <si>
    <t>Planificar rutas y tiempos de entrega considerando posibles imprevistos.</t>
  </si>
  <si>
    <t>Usar herramientas de gestión de pedidos y logística.</t>
  </si>
  <si>
    <t>4. Automatización de procesos</t>
  </si>
  <si>
    <t>Integrar sistemas ERP entre cliente y proveedor para visibilidad mutua de pedidos y entregas.</t>
  </si>
  <si>
    <t>Automatizar la confirmación y seguimiento de pedidos.</t>
  </si>
  <si>
    <t>5. Capacitación del personal</t>
  </si>
  <si>
    <t>Entrenar a los equipos en la importancia del OTIF y en buenas prácticas logísticas.</t>
  </si>
  <si>
    <t>6. Gestión de proveedores y transportistas</t>
  </si>
  <si>
    <t>Seleccionar y evaluar proveedores y transportistas confiables.</t>
  </si>
  <si>
    <t>Establecer acuerdos de nivel de servicio (SLA) claros.</t>
  </si>
  <si>
    <t>Investigar y documentar los motivos de entregas fuera de tiempo o incompletas.</t>
  </si>
  <si>
    <t>Implementar acciones correctivas y preventivas.</t>
  </si>
  <si>
    <t>8. Revisión y mejora continua</t>
  </si>
  <si>
    <t>Realizar reuniones periódicas de revisión de desempeño OTIF con clientes y proveedores.</t>
  </si>
  <si>
    <t>Ajustar procesos y acuerdos según los resultados y retroalimentación.</t>
  </si>
  <si>
    <t>1. Métodos</t>
  </si>
  <si>
    <t>Falta de procedimientos estandarizados.</t>
  </si>
  <si>
    <t>2. Mano de Obra</t>
  </si>
  <si>
    <t>Personal insuficiente o mal distribuido.</t>
  </si>
  <si>
    <t>Falta de capacitación técnica.</t>
  </si>
  <si>
    <t>Errores humanos por desconocimiento.</t>
  </si>
  <si>
    <t>Alta rotación o desmotivación del personal.</t>
  </si>
  <si>
    <t>Sobrecarga de trabajo.</t>
  </si>
  <si>
    <t>3. Materiales</t>
  </si>
  <si>
    <t>Repuestos o materiales no disponibles a tiempo.</t>
  </si>
  <si>
    <t>Materiales defectuosos o de baja calidad.</t>
  </si>
  <si>
    <t>Demoras en la entrega de repuestos.</t>
  </si>
  <si>
    <t>Falta de herramientas adecuadas.</t>
  </si>
  <si>
    <t>Errores en pedidos de materiales.</t>
  </si>
  <si>
    <t>4. Maquinaria</t>
  </si>
  <si>
    <t>Herramientas inadecuadas o en mal estado.</t>
  </si>
  <si>
    <t>Equipos de diagnóstico o mantenimiento sin calibrar.</t>
  </si>
  <si>
    <t>Falta de mantenimiento preventivo de las propias herramientas.</t>
  </si>
  <si>
    <t>5. Entorno</t>
  </si>
  <si>
    <t>Acceso restringido al área de trabajo.</t>
  </si>
  <si>
    <t>Condiciones climáticas adversas.</t>
  </si>
  <si>
    <t>Interrupciones en el sitio de trabajo.</t>
  </si>
  <si>
    <t>Cambios de prioridad por parte del cliente.</t>
  </si>
  <si>
    <t>Mala planificación de los servicios.</t>
  </si>
  <si>
    <t>Falta de comunicación con el cliente.</t>
  </si>
  <si>
    <t>Falta de seguimiento a los indicadores de desempeño.</t>
  </si>
  <si>
    <t>Falta de análisis de causas raíz de los incumplimientos.</t>
  </si>
  <si>
    <t>Procesos poco claros.</t>
  </si>
  <si>
    <t>Falta de seguimiento ( tracking)  del proceso</t>
  </si>
  <si>
    <t>Cambios tardios de plan de trabajo y especificaciones.</t>
  </si>
  <si>
    <t>CAUSAS DE INCUMPLIMIENTO</t>
  </si>
  <si>
    <t>On Time (A tiempo): El pedido se entrega en la fecha acordada con el cliente.</t>
  </si>
  <si>
    <t>In Full (Completo): El pedido se entrega con la cantidad y especificaciones  solicitadas, sin faltantes ni errores.</t>
  </si>
  <si>
    <t>% entregas a tiempo x % entregas completa</t>
  </si>
  <si>
    <t xml:space="preserve">OTIF = </t>
  </si>
  <si>
    <t>Entrega completa (0/1)</t>
  </si>
  <si>
    <t>Dias diferencia</t>
  </si>
  <si>
    <t>TOTAL PEDIDOS</t>
  </si>
  <si>
    <t>% ON TIME</t>
  </si>
  <si>
    <t>% IN FULL</t>
  </si>
  <si>
    <t>% OTIF</t>
  </si>
  <si>
    <t>Documento Transporte</t>
  </si>
  <si>
    <t>123XXXXXXXXX</t>
  </si>
  <si>
    <t>456XXXXXXXXX</t>
  </si>
  <si>
    <t>Responsable</t>
  </si>
  <si>
    <t>On TIME  (OK)</t>
  </si>
  <si>
    <t>IN FULL (Ok)</t>
  </si>
  <si>
    <t>Inconformidad/ errores</t>
  </si>
  <si>
    <t>ISHIKAWA
PDCA PASO 1: PLANEAR
( CAUSAS POTENCIALES) (¿POR QUÉ?)</t>
  </si>
  <si>
    <t>Producto : 
Fecha : 
PDCA No.:</t>
  </si>
  <si>
    <t>Material</t>
  </si>
  <si>
    <t>Proceso</t>
  </si>
  <si>
    <t>EJEMPLO</t>
  </si>
  <si>
    <t>OTIF en xxx y deb ser yyy</t>
  </si>
  <si>
    <t>Maquinaria / Equipo</t>
  </si>
  <si>
    <t>Mano de Obra</t>
  </si>
  <si>
    <t>nivel de control</t>
  </si>
  <si>
    <t>medio</t>
  </si>
  <si>
    <t xml:space="preserve">alto </t>
  </si>
  <si>
    <t>bajo</t>
  </si>
  <si>
    <t>7. Análisis a fondo de causas raíz del  incumplimiento</t>
  </si>
  <si>
    <t xml:space="preserve">1. Mejorar la comunicación </t>
  </si>
  <si>
    <t>* en servicio : actividades programadas</t>
  </si>
  <si>
    <t>6. Gestión - información</t>
  </si>
  <si>
    <t>MATRIZ  KRALJIC- Matriz de clasificación y segmentación de proveedores</t>
  </si>
  <si>
    <t>Objetivo</t>
  </si>
  <si>
    <t>Caracteristicas</t>
  </si>
  <si>
    <t>Algunas estrategias</t>
  </si>
  <si>
    <t>Rutinarios  
(No criticos)</t>
  </si>
  <si>
    <t>SIMPLIFICAR OPERACIÓN Y GESTION ADMINISTRATIVA</t>
  </si>
  <si>
    <t>Muchas referencias y parametros</t>
  </si>
  <si>
    <t>Estandarización y reducción de referencias</t>
  </si>
  <si>
    <t>Procesos complejos de compra</t>
  </si>
  <si>
    <t>Simplificar procesos administrativos</t>
  </si>
  <si>
    <t xml:space="preserve">Muchos proveedores </t>
  </si>
  <si>
    <t>Mejorar relacionamiento con proveedores locales</t>
  </si>
  <si>
    <t xml:space="preserve">Varios esquema logisticos suministro </t>
  </si>
  <si>
    <t>Apalancados</t>
  </si>
  <si>
    <t>MINIMIZAR  COSTOS y REDUCIR PRECIOS</t>
  </si>
  <si>
    <t>Productos y servicios estandarizados</t>
  </si>
  <si>
    <t>Buscar proveedores alternativos</t>
  </si>
  <si>
    <t>Muchos proveedores donde elegir</t>
  </si>
  <si>
    <t>Consolidar equipo de compra especializado</t>
  </si>
  <si>
    <t>Alto  impacto en cifra de compra</t>
  </si>
  <si>
    <t>Centralizar compras</t>
  </si>
  <si>
    <t>Baja complejidad de suministro</t>
  </si>
  <si>
    <t>Reducir numero de proveedores</t>
  </si>
  <si>
    <t>Tercerización</t>
  </si>
  <si>
    <t>Desplegar planes de competitividad conjunta</t>
  </si>
  <si>
    <t>Estrategicos</t>
  </si>
  <si>
    <t>ASEGURAR SUMINISTRO 
PRECIOS COMPETITIVOS</t>
  </si>
  <si>
    <t>Compeljidad en el sumnistro</t>
  </si>
  <si>
    <t>Dificil negociación de precios</t>
  </si>
  <si>
    <t>Construir socios estrategicos y alianzas</t>
  </si>
  <si>
    <t>Alto impacto en cifra de compra</t>
  </si>
  <si>
    <t>Fortalecer el relacionamiento a largo plazo</t>
  </si>
  <si>
    <t>Escasos proveedores sustitutos</t>
  </si>
  <si>
    <t>Desarrollar plan B (Proveedor sustituto)</t>
  </si>
  <si>
    <t>Poder de negociación del proveedor alto</t>
  </si>
  <si>
    <t>Desplegar planes de productividad &amp; competitividad</t>
  </si>
  <si>
    <t>Cuellos de botella</t>
  </si>
  <si>
    <t xml:space="preserve">GARANTIZAR SUMINISTRO </t>
  </si>
  <si>
    <t>Bajo impacto en cifra de compras</t>
  </si>
  <si>
    <t>Calcular previsiones de demanda detallada</t>
  </si>
  <si>
    <t>Alta compeljidad de suministro</t>
  </si>
  <si>
    <t>gestionar matriz de riesgos</t>
  </si>
  <si>
    <t>Plan de contingencia ( inventarios  y variación de precios)</t>
  </si>
  <si>
    <t>Tecnologia especializada (usualmente)</t>
  </si>
  <si>
    <t>Estrategias para mejorar el OTIF / CLIENTE-PROVEEDOR</t>
  </si>
  <si>
    <t>Explicación breve para evaluación  media y baja</t>
  </si>
  <si>
    <t>Falta de técnicos especializados en GSE.</t>
  </si>
  <si>
    <t>Ausencia de programas de formación continua.</t>
  </si>
  <si>
    <t>Personal no alimenta de manera correcta en la plataforma</t>
  </si>
  <si>
    <t>Las fallas de los equipos en ocasiones no son reportadas, y lo que hace mas dificil la identificacion de las fallas y solucion de la dificutad.</t>
  </si>
  <si>
    <t>Decision propia del cliente</t>
  </si>
  <si>
    <t>Capacitación insuficiente en nuevas tecnologías.</t>
  </si>
  <si>
    <t>Depende disponbilidad del proveedor, y de la necisidad del cliente ancla</t>
  </si>
  <si>
    <t>No se cuenta con inventario y algunos por altos costos o baja rotación</t>
  </si>
  <si>
    <t>En ocasiones dependiendo de la posicion y la falla, este se debe atender a la interperie.</t>
  </si>
  <si>
    <t>Medio. ADZ</t>
  </si>
  <si>
    <t>Teimpo inicia desde la recepcion del tiket de mantenimiento.</t>
  </si>
  <si>
    <t>hata la facturacion del servici prestado.</t>
  </si>
  <si>
    <t>Cómo se resuelven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</si>
</sst>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font>
      <sz val="11"/>
      <color theme="1"/>
      <name val="Calibri"/>
      <family val="2"/>
      <scheme val="minor"/>
    </font>
    <font>
      <sz val="11"/>
      <color theme="1"/>
      <name val="Calibri"/>
      <family val="2"/>
      <scheme val="minor"/>
    </font>
    <font>
      <sz val="11"/>
      <color theme="1"/>
      <name val="Arial"/>
      <family val="2"/>
    </font>
    <font>
      <sz val="14"/>
      <color theme="1"/>
      <name val="Arial"/>
      <family val="2"/>
    </font>
    <font>
      <sz val="12"/>
      <color theme="1"/>
      <name val="Arial"/>
      <family val="2"/>
    </font>
    <font>
      <sz val="16"/>
      <color theme="1"/>
      <name val="Arial"/>
      <family val="2"/>
    </font>
    <font>
      <sz val="11"/>
      <color rgb="FFC00000"/>
      <name val="Arial"/>
      <family val="2"/>
    </font>
    <font>
      <sz val="10"/>
      <color theme="1"/>
      <name val="Arial"/>
      <family val="2"/>
    </font>
    <font>
      <b/>
      <sz val="11"/>
      <color theme="1"/>
      <name val="Arial"/>
      <family val="2"/>
    </font>
    <font>
      <sz val="11"/>
      <color rgb="FF34363D"/>
      <name val="Arial"/>
      <family val="2"/>
    </font>
    <font>
      <b/>
      <sz val="15.7"/>
      <color rgb="FF151617"/>
      <name val="Arial"/>
      <family val="2"/>
    </font>
    <font>
      <b/>
      <sz val="14.1"/>
      <color rgb="FF151617"/>
      <name val="Arial"/>
      <family val="2"/>
    </font>
    <font>
      <b/>
      <sz val="20"/>
      <color theme="1"/>
      <name val="Arial"/>
      <family val="2"/>
    </font>
    <font>
      <b/>
      <sz val="14"/>
      <color theme="1"/>
      <name val="Arial"/>
      <family val="2"/>
    </font>
    <font>
      <sz val="10"/>
      <name val="Arial"/>
      <family val="2"/>
    </font>
    <font>
      <sz val="8"/>
      <name val="Optima"/>
    </font>
    <font>
      <b/>
      <sz val="16"/>
      <name val="DIN-Regular"/>
      <family val="2"/>
    </font>
    <font>
      <sz val="11"/>
      <name val="DIN-Regular"/>
      <family val="2"/>
    </font>
    <font>
      <sz val="18"/>
      <name val="Optima"/>
    </font>
    <font>
      <b/>
      <sz val="11"/>
      <name val="DIN-Regular"/>
      <family val="2"/>
    </font>
    <font>
      <b/>
      <sz val="12"/>
      <name val="DIN-Regular"/>
      <family val="2"/>
    </font>
    <font>
      <sz val="8"/>
      <name val="DIN-Regular"/>
      <family val="2"/>
    </font>
    <font>
      <sz val="10"/>
      <name val="DIN-Regular"/>
      <family val="2"/>
    </font>
    <font>
      <sz val="12"/>
      <name val="Arial"/>
      <family val="2"/>
    </font>
    <font>
      <b/>
      <sz val="12"/>
      <color rgb="FF34363D"/>
      <name val="Arial"/>
      <family val="2"/>
    </font>
    <font>
      <b/>
      <sz val="14"/>
      <color rgb="FF34363D"/>
      <name val="Arial"/>
      <family val="2"/>
    </font>
    <font>
      <sz val="22"/>
      <color theme="1"/>
      <name val="Arial"/>
      <family val="2"/>
    </font>
    <font>
      <sz val="11"/>
      <color theme="0"/>
      <name val="Arial"/>
      <family val="2"/>
    </font>
    <font>
      <sz val="20"/>
      <color theme="0"/>
      <name val="Arial"/>
      <family val="2"/>
    </font>
    <font>
      <sz val="18"/>
      <color theme="1"/>
      <name val="Arial"/>
      <family val="2"/>
    </font>
  </fonts>
  <fills count="13">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5D5D"/>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1" tint="0.249977111117893"/>
        <bgColor indexed="64"/>
      </patternFill>
    </fill>
    <fill>
      <patternFill patternType="solid">
        <fgColor theme="0"/>
        <bgColor indexed="64"/>
      </patternFill>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bottom style="hair">
        <color indexed="64"/>
      </bottom>
      <diagonal/>
    </border>
    <border>
      <left/>
      <right/>
      <top style="hair">
        <color indexed="64"/>
      </top>
      <bottom style="hair">
        <color indexed="64"/>
      </bottom>
      <diagonal/>
    </border>
    <border>
      <left/>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14" fillId="0" borderId="0"/>
  </cellStyleXfs>
  <cellXfs count="125">
    <xf numFmtId="0" fontId="0" fillId="0" borderId="0" xfId="0"/>
    <xf numFmtId="0" fontId="0" fillId="3" borderId="2" xfId="0" applyFill="1" applyBorder="1" applyAlignment="1">
      <alignment vertical="center" wrapText="1"/>
    </xf>
    <xf numFmtId="0" fontId="0" fillId="0" borderId="2" xfId="0" applyBorder="1"/>
    <xf numFmtId="0" fontId="2" fillId="0" borderId="0" xfId="0" applyFont="1"/>
    <xf numFmtId="0" fontId="2" fillId="2" borderId="1" xfId="0" applyFont="1" applyFill="1" applyBorder="1"/>
    <xf numFmtId="0" fontId="2" fillId="2" borderId="0" xfId="0" applyFont="1" applyFill="1"/>
    <xf numFmtId="0" fontId="4" fillId="3" borderId="1" xfId="0" applyFont="1" applyFill="1" applyBorder="1" applyAlignment="1">
      <alignment horizontal="center"/>
    </xf>
    <xf numFmtId="0" fontId="4" fillId="3" borderId="0" xfId="0" applyFont="1" applyFill="1" applyAlignment="1">
      <alignment horizontal="center"/>
    </xf>
    <xf numFmtId="0" fontId="3" fillId="0" borderId="0" xfId="0" applyFont="1" applyAlignment="1">
      <alignment vertical="center"/>
    </xf>
    <xf numFmtId="0" fontId="4" fillId="0" borderId="0" xfId="0" applyFont="1" applyAlignment="1">
      <alignment horizontal="center"/>
    </xf>
    <xf numFmtId="9" fontId="2" fillId="0" borderId="0" xfId="1" applyFont="1" applyAlignment="1">
      <alignment horizontal="center"/>
    </xf>
    <xf numFmtId="0" fontId="2" fillId="0" borderId="0" xfId="0" applyFont="1" applyAlignment="1">
      <alignment horizontal="right"/>
    </xf>
    <xf numFmtId="0" fontId="2" fillId="0" borderId="0" xfId="0" applyFont="1" applyAlignment="1">
      <alignment horizontal="center"/>
    </xf>
    <xf numFmtId="9" fontId="5" fillId="4" borderId="0" xfId="1" applyFont="1" applyFill="1" applyAlignment="1">
      <alignment horizontal="center"/>
    </xf>
    <xf numFmtId="0" fontId="2" fillId="3" borderId="2" xfId="0" applyFont="1" applyFill="1" applyBorder="1" applyAlignment="1">
      <alignment vertical="center" wrapText="1"/>
    </xf>
    <xf numFmtId="0" fontId="4" fillId="0" borderId="0" xfId="0" applyFont="1"/>
    <xf numFmtId="0" fontId="6" fillId="7" borderId="0" xfId="0" applyFont="1" applyFill="1"/>
    <xf numFmtId="0" fontId="2" fillId="6" borderId="0" xfId="0" applyFont="1" applyFill="1"/>
    <xf numFmtId="0" fontId="2" fillId="5" borderId="0" xfId="0" applyFont="1" applyFill="1"/>
    <xf numFmtId="9" fontId="2" fillId="0" borderId="0" xfId="1" applyFont="1"/>
    <xf numFmtId="14" fontId="7" fillId="0" borderId="2" xfId="0" applyNumberFormat="1" applyFont="1" applyBorder="1"/>
    <xf numFmtId="0" fontId="7" fillId="0" borderId="2" xfId="0" applyFont="1" applyBorder="1"/>
    <xf numFmtId="164" fontId="3" fillId="3" borderId="0" xfId="1" applyNumberFormat="1" applyFont="1" applyFill="1" applyAlignment="1">
      <alignment horizontal="center"/>
    </xf>
    <xf numFmtId="164" fontId="3" fillId="3" borderId="0" xfId="1" applyNumberFormat="1" applyFont="1" applyFill="1"/>
    <xf numFmtId="164" fontId="3" fillId="3" borderId="0" xfId="0" applyNumberFormat="1" applyFont="1" applyFill="1" applyAlignment="1">
      <alignment horizontal="center"/>
    </xf>
    <xf numFmtId="0" fontId="2" fillId="8" borderId="2" xfId="0" applyFont="1" applyFill="1" applyBorder="1" applyAlignment="1">
      <alignment vertical="center" wrapText="1"/>
    </xf>
    <xf numFmtId="0" fontId="7" fillId="0" borderId="2" xfId="0" applyFont="1" applyBorder="1" applyAlignment="1">
      <alignment horizontal="center"/>
    </xf>
    <xf numFmtId="0" fontId="7" fillId="4" borderId="2" xfId="0" applyFont="1" applyFill="1" applyBorder="1"/>
    <xf numFmtId="0" fontId="9" fillId="0" borderId="0" xfId="0" applyFont="1" applyAlignment="1">
      <alignment vertical="center" wrapText="1"/>
    </xf>
    <xf numFmtId="0" fontId="10" fillId="0" borderId="0" xfId="0" applyFont="1" applyAlignment="1">
      <alignment vertical="center" wrapText="1"/>
    </xf>
    <xf numFmtId="0" fontId="0" fillId="0" borderId="0" xfId="0" applyAlignment="1">
      <alignment horizontal="left" vertical="center" wrapText="1" indent="1"/>
    </xf>
    <xf numFmtId="0" fontId="9" fillId="0" borderId="0" xfId="0" applyFont="1" applyAlignment="1">
      <alignment horizontal="left" vertical="center" wrapText="1" indent="1"/>
    </xf>
    <xf numFmtId="0" fontId="0" fillId="0" borderId="0" xfId="0" applyAlignment="1">
      <alignment vertical="center" wrapText="1"/>
    </xf>
    <xf numFmtId="0" fontId="11" fillId="0" borderId="0" xfId="0" applyFont="1" applyAlignment="1">
      <alignment vertical="center" wrapText="1"/>
    </xf>
    <xf numFmtId="0" fontId="2" fillId="0" borderId="0" xfId="0" applyFont="1" applyAlignment="1">
      <alignment horizontal="left"/>
    </xf>
    <xf numFmtId="0" fontId="5" fillId="3" borderId="0" xfId="0" applyFont="1" applyFill="1"/>
    <xf numFmtId="0" fontId="13" fillId="0" borderId="2" xfId="0" applyFont="1" applyBorder="1" applyAlignment="1">
      <alignment horizontal="center"/>
    </xf>
    <xf numFmtId="0" fontId="8" fillId="0" borderId="2" xfId="0" applyFont="1" applyBorder="1" applyAlignment="1">
      <alignment horizontal="center"/>
    </xf>
    <xf numFmtId="9" fontId="8" fillId="0" borderId="2" xfId="1" applyFont="1" applyBorder="1" applyAlignment="1">
      <alignment horizontal="center"/>
    </xf>
    <xf numFmtId="9" fontId="8" fillId="0" borderId="7" xfId="1" applyFont="1" applyBorder="1" applyAlignment="1">
      <alignment horizontal="center"/>
    </xf>
    <xf numFmtId="9" fontId="8" fillId="4" borderId="6" xfId="1" applyFont="1" applyFill="1" applyBorder="1" applyAlignment="1">
      <alignment horizontal="center"/>
    </xf>
    <xf numFmtId="0" fontId="15" fillId="0" borderId="3" xfId="2" applyFont="1" applyBorder="1" applyAlignment="1">
      <alignment horizontal="center"/>
    </xf>
    <xf numFmtId="0" fontId="14" fillId="0" borderId="4" xfId="2" applyBorder="1"/>
    <xf numFmtId="0" fontId="18" fillId="0" borderId="5" xfId="2" applyFont="1" applyBorder="1" applyAlignment="1">
      <alignment horizontal="center" vertical="center"/>
    </xf>
    <xf numFmtId="0" fontId="14" fillId="0" borderId="0" xfId="2"/>
    <xf numFmtId="0" fontId="15" fillId="0" borderId="0" xfId="2" applyFont="1" applyAlignment="1">
      <alignment horizontal="center"/>
    </xf>
    <xf numFmtId="0" fontId="20" fillId="0" borderId="0" xfId="2" applyFont="1" applyAlignment="1">
      <alignment horizontal="center" vertical="center"/>
    </xf>
    <xf numFmtId="0" fontId="20" fillId="0" borderId="0" xfId="2" applyFont="1" applyAlignment="1">
      <alignment vertical="center"/>
    </xf>
    <xf numFmtId="9" fontId="21" fillId="0" borderId="8" xfId="2" applyNumberFormat="1" applyFont="1" applyBorder="1" applyAlignment="1">
      <alignment horizontal="center"/>
    </xf>
    <xf numFmtId="0" fontId="22" fillId="0" borderId="8" xfId="2" applyFont="1" applyBorder="1"/>
    <xf numFmtId="0" fontId="22" fillId="0" borderId="0" xfId="2" applyFont="1"/>
    <xf numFmtId="9" fontId="21" fillId="0" borderId="9" xfId="2" applyNumberFormat="1" applyFont="1" applyBorder="1" applyAlignment="1">
      <alignment horizontal="center"/>
    </xf>
    <xf numFmtId="0" fontId="22" fillId="0" borderId="9" xfId="2" applyFont="1" applyBorder="1"/>
    <xf numFmtId="0" fontId="14" fillId="0" borderId="9" xfId="2" applyBorder="1"/>
    <xf numFmtId="0" fontId="23" fillId="0" borderId="9" xfId="2" applyFont="1" applyBorder="1"/>
    <xf numFmtId="0" fontId="14" fillId="0" borderId="9" xfId="2" applyBorder="1" applyAlignment="1">
      <alignment horizontal="right"/>
    </xf>
    <xf numFmtId="0" fontId="22" fillId="0" borderId="10" xfId="2" applyFont="1" applyBorder="1"/>
    <xf numFmtId="0" fontId="22" fillId="0" borderId="9" xfId="2" applyFont="1" applyBorder="1" applyAlignment="1">
      <alignment horizontal="left"/>
    </xf>
    <xf numFmtId="9" fontId="21" fillId="0" borderId="0" xfId="2" applyNumberFormat="1" applyFont="1" applyAlignment="1">
      <alignment horizontal="center"/>
    </xf>
    <xf numFmtId="0" fontId="14" fillId="0" borderId="8" xfId="2" applyBorder="1"/>
    <xf numFmtId="0" fontId="22" fillId="0" borderId="0" xfId="2" applyFont="1" applyAlignment="1">
      <alignment vertical="center"/>
    </xf>
    <xf numFmtId="9" fontId="15" fillId="0" borderId="0" xfId="2" applyNumberFormat="1" applyFont="1" applyAlignment="1">
      <alignment horizontal="center"/>
    </xf>
    <xf numFmtId="0" fontId="24" fillId="9" borderId="0" xfId="0" applyFont="1" applyFill="1" applyAlignment="1">
      <alignment vertical="center" wrapText="1"/>
    </xf>
    <xf numFmtId="0" fontId="24" fillId="4" borderId="0" xfId="0" applyFont="1" applyFill="1" applyAlignment="1">
      <alignment vertical="center" wrapText="1"/>
    </xf>
    <xf numFmtId="0" fontId="25" fillId="10" borderId="0" xfId="0" applyFont="1" applyFill="1" applyAlignment="1">
      <alignment horizontal="left" vertical="center" wrapText="1" indent="1"/>
    </xf>
    <xf numFmtId="0" fontId="0" fillId="10" borderId="2" xfId="0" applyFill="1" applyBorder="1"/>
    <xf numFmtId="0" fontId="26" fillId="0" borderId="0" xfId="0" applyFont="1"/>
    <xf numFmtId="0" fontId="27" fillId="11" borderId="0" xfId="0" applyFont="1" applyFill="1"/>
    <xf numFmtId="0" fontId="28" fillId="11" borderId="0" xfId="0" applyFont="1" applyFill="1" applyAlignment="1">
      <alignment horizontal="center"/>
    </xf>
    <xf numFmtId="0" fontId="3" fillId="0" borderId="18" xfId="0" applyFont="1" applyBorder="1"/>
    <xf numFmtId="0" fontId="3" fillId="0" borderId="2" xfId="0" applyFont="1" applyBorder="1"/>
    <xf numFmtId="0" fontId="3" fillId="0" borderId="0" xfId="0" applyFont="1"/>
    <xf numFmtId="0" fontId="2" fillId="0" borderId="18" xfId="0" applyFont="1" applyBorder="1"/>
    <xf numFmtId="0" fontId="5" fillId="0" borderId="2" xfId="0" applyFont="1" applyBorder="1"/>
    <xf numFmtId="0" fontId="0" fillId="0" borderId="2" xfId="0" applyBorder="1" applyAlignment="1">
      <alignment horizontal="center"/>
    </xf>
    <xf numFmtId="0" fontId="0" fillId="0" borderId="2" xfId="0" applyBorder="1" applyAlignment="1">
      <alignment horizontal="center" vertical="center"/>
    </xf>
    <xf numFmtId="0" fontId="0" fillId="9" borderId="2" xfId="0" applyFill="1" applyBorder="1" applyAlignment="1">
      <alignment horizontal="center"/>
    </xf>
    <xf numFmtId="0" fontId="0" fillId="0" borderId="2" xfId="0" applyBorder="1" applyAlignment="1">
      <alignment wrapText="1"/>
    </xf>
    <xf numFmtId="0" fontId="0" fillId="0" borderId="2" xfId="0" applyBorder="1" applyAlignment="1">
      <alignment horizontal="left" vertical="center" wrapText="1"/>
    </xf>
    <xf numFmtId="0" fontId="0" fillId="10" borderId="2" xfId="0" applyFill="1" applyBorder="1" applyAlignment="1">
      <alignment horizontal="center" wrapText="1"/>
    </xf>
    <xf numFmtId="0" fontId="12" fillId="4" borderId="0" xfId="0" applyFont="1" applyFill="1" applyAlignment="1">
      <alignment horizontal="center"/>
    </xf>
    <xf numFmtId="0" fontId="8" fillId="2" borderId="0" xfId="0" applyFont="1" applyFill="1" applyAlignment="1">
      <alignment horizontal="right" vertical="center" wrapText="1"/>
    </xf>
    <xf numFmtId="0" fontId="3" fillId="3" borderId="0" xfId="0" applyFont="1" applyFill="1" applyAlignment="1">
      <alignment horizontal="center" vertical="center"/>
    </xf>
    <xf numFmtId="0" fontId="5" fillId="3" borderId="0" xfId="0" applyFont="1" applyFill="1" applyAlignment="1">
      <alignment horizontal="center" vertical="center"/>
    </xf>
    <xf numFmtId="0" fontId="8" fillId="2" borderId="3" xfId="0" applyFont="1" applyFill="1" applyBorder="1" applyAlignment="1">
      <alignment horizontal="right" vertical="center"/>
    </xf>
    <xf numFmtId="0" fontId="8" fillId="2" borderId="4" xfId="0" applyFont="1" applyFill="1" applyBorder="1" applyAlignment="1">
      <alignment horizontal="right" vertical="center"/>
    </xf>
    <xf numFmtId="0" fontId="2" fillId="2" borderId="4" xfId="0" applyFont="1" applyFill="1" applyBorder="1" applyAlignment="1">
      <alignment horizontal="left" vertical="center"/>
    </xf>
    <xf numFmtId="0" fontId="2" fillId="2" borderId="5" xfId="0" applyFont="1" applyFill="1" applyBorder="1" applyAlignment="1">
      <alignment horizontal="left" vertical="center"/>
    </xf>
    <xf numFmtId="0" fontId="2" fillId="0" borderId="0" xfId="0" applyFont="1" applyAlignment="1">
      <alignment horizontal="left" vertical="center" wrapText="1"/>
    </xf>
    <xf numFmtId="9" fontId="2" fillId="3" borderId="0" xfId="1" applyFont="1" applyFill="1" applyAlignment="1">
      <alignment horizontal="center" vertical="center"/>
    </xf>
    <xf numFmtId="0" fontId="0" fillId="10" borderId="2" xfId="0" applyFill="1" applyBorder="1" applyAlignment="1">
      <alignment horizontal="center"/>
    </xf>
    <xf numFmtId="0" fontId="19" fillId="0" borderId="3" xfId="2" applyFont="1" applyBorder="1" applyAlignment="1">
      <alignment horizontal="center" vertical="center"/>
    </xf>
    <xf numFmtId="0" fontId="19" fillId="0" borderId="5" xfId="2" applyFont="1" applyBorder="1" applyAlignment="1">
      <alignment horizontal="center" vertical="center"/>
    </xf>
    <xf numFmtId="0" fontId="20" fillId="4" borderId="3" xfId="2" applyFont="1" applyFill="1" applyBorder="1" applyAlignment="1">
      <alignment horizontal="center" vertical="center"/>
    </xf>
    <xf numFmtId="0" fontId="20" fillId="4" borderId="4" xfId="2" applyFont="1" applyFill="1" applyBorder="1" applyAlignment="1">
      <alignment horizontal="center" vertical="center"/>
    </xf>
    <xf numFmtId="0" fontId="20" fillId="4" borderId="5" xfId="2" applyFont="1" applyFill="1" applyBorder="1" applyAlignment="1">
      <alignment horizontal="center" vertical="center"/>
    </xf>
    <xf numFmtId="0" fontId="14" fillId="4" borderId="11" xfId="2" applyFill="1" applyBorder="1" applyAlignment="1">
      <alignment horizontal="left" vertical="center" wrapText="1"/>
    </xf>
    <xf numFmtId="0" fontId="14" fillId="4" borderId="12" xfId="2" applyFill="1" applyBorder="1" applyAlignment="1">
      <alignment horizontal="left" vertical="center" wrapText="1"/>
    </xf>
    <xf numFmtId="0" fontId="14" fillId="4" borderId="13" xfId="2" applyFill="1" applyBorder="1" applyAlignment="1">
      <alignment horizontal="left" vertical="center" wrapText="1"/>
    </xf>
    <xf numFmtId="0" fontId="14" fillId="4" borderId="14" xfId="2" applyFill="1" applyBorder="1" applyAlignment="1">
      <alignment horizontal="left" vertical="center" wrapText="1"/>
    </xf>
    <xf numFmtId="0" fontId="14" fillId="4" borderId="0" xfId="2" applyFill="1" applyAlignment="1">
      <alignment horizontal="left" vertical="center" wrapText="1"/>
    </xf>
    <xf numFmtId="0" fontId="14" fillId="4" borderId="15" xfId="2" applyFill="1" applyBorder="1" applyAlignment="1">
      <alignment horizontal="left" vertical="center" wrapText="1"/>
    </xf>
    <xf numFmtId="0" fontId="14" fillId="4" borderId="16" xfId="2" applyFill="1" applyBorder="1" applyAlignment="1">
      <alignment horizontal="left" vertical="center" wrapText="1"/>
    </xf>
    <xf numFmtId="0" fontId="14" fillId="4" borderId="1" xfId="2" applyFill="1" applyBorder="1" applyAlignment="1">
      <alignment horizontal="left" vertical="center" wrapText="1"/>
    </xf>
    <xf numFmtId="0" fontId="14" fillId="4" borderId="17" xfId="2" applyFill="1" applyBorder="1" applyAlignment="1">
      <alignment horizontal="left" vertical="center" wrapText="1"/>
    </xf>
    <xf numFmtId="9" fontId="19" fillId="4" borderId="3" xfId="2" applyNumberFormat="1" applyFont="1" applyFill="1" applyBorder="1" applyAlignment="1">
      <alignment horizontal="center" vertical="center"/>
    </xf>
    <xf numFmtId="9" fontId="19" fillId="4" borderId="4" xfId="2" applyNumberFormat="1" applyFont="1" applyFill="1" applyBorder="1" applyAlignment="1">
      <alignment horizontal="center" vertical="center"/>
    </xf>
    <xf numFmtId="9" fontId="19" fillId="4" borderId="5" xfId="2" applyNumberFormat="1" applyFont="1" applyFill="1" applyBorder="1" applyAlignment="1">
      <alignment horizontal="center" vertical="center"/>
    </xf>
    <xf numFmtId="0" fontId="19" fillId="4" borderId="3" xfId="2" applyFont="1" applyFill="1" applyBorder="1" applyAlignment="1">
      <alignment horizontal="center" vertical="center"/>
    </xf>
    <xf numFmtId="0" fontId="19" fillId="4" borderId="5" xfId="2" applyFont="1" applyFill="1" applyBorder="1" applyAlignment="1">
      <alignment horizontal="center" vertical="center"/>
    </xf>
    <xf numFmtId="0" fontId="19" fillId="0" borderId="0" xfId="2" applyFont="1" applyAlignment="1">
      <alignment horizontal="center" vertical="center"/>
    </xf>
    <xf numFmtId="0" fontId="20" fillId="0" borderId="0" xfId="2" applyFont="1" applyAlignment="1">
      <alignment horizontal="center" vertical="center"/>
    </xf>
    <xf numFmtId="0" fontId="16" fillId="0" borderId="4" xfId="2" applyFont="1" applyBorder="1" applyAlignment="1">
      <alignment horizontal="center" vertical="center" wrapText="1"/>
    </xf>
    <xf numFmtId="0" fontId="16" fillId="0" borderId="4" xfId="2" applyFont="1" applyBorder="1" applyAlignment="1">
      <alignment horizontal="center" vertical="center"/>
    </xf>
    <xf numFmtId="0" fontId="17" fillId="0" borderId="4" xfId="2" applyFont="1" applyBorder="1" applyAlignment="1">
      <alignment horizontal="left" vertical="center" wrapText="1"/>
    </xf>
    <xf numFmtId="0" fontId="14" fillId="0" borderId="4" xfId="2" applyBorder="1" applyAlignment="1">
      <alignment vertical="center"/>
    </xf>
    <xf numFmtId="0" fontId="29" fillId="2" borderId="7" xfId="0" applyFont="1" applyFill="1" applyBorder="1" applyAlignment="1">
      <alignment horizontal="center" vertical="center" wrapText="1"/>
    </xf>
    <xf numFmtId="0" fontId="29" fillId="2" borderId="19" xfId="0" applyFont="1" applyFill="1" applyBorder="1" applyAlignment="1">
      <alignment horizontal="center" vertical="center" wrapText="1"/>
    </xf>
    <xf numFmtId="0" fontId="29" fillId="2" borderId="20" xfId="0" applyFont="1" applyFill="1" applyBorder="1" applyAlignment="1">
      <alignment horizontal="center" vertical="center" wrapText="1"/>
    </xf>
    <xf numFmtId="0" fontId="3" fillId="12" borderId="7" xfId="0" applyFont="1" applyFill="1" applyBorder="1" applyAlignment="1">
      <alignment horizontal="center" vertical="center" wrapText="1"/>
    </xf>
    <xf numFmtId="0" fontId="3" fillId="12" borderId="19" xfId="0" applyFont="1" applyFill="1" applyBorder="1" applyAlignment="1">
      <alignment horizontal="center" vertical="center" wrapText="1"/>
    </xf>
    <xf numFmtId="0" fontId="3" fillId="12" borderId="20" xfId="0" applyFont="1" applyFill="1" applyBorder="1" applyAlignment="1">
      <alignment horizontal="center" vertical="center" wrapText="1"/>
    </xf>
    <xf numFmtId="0" fontId="4" fillId="12" borderId="7" xfId="0" applyFont="1" applyFill="1" applyBorder="1" applyAlignment="1">
      <alignment horizontal="center" vertical="center" wrapText="1"/>
    </xf>
    <xf numFmtId="0" fontId="4" fillId="12" borderId="19" xfId="0" applyFont="1" applyFill="1" applyBorder="1" applyAlignment="1">
      <alignment horizontal="center" vertical="center" wrapText="1"/>
    </xf>
    <xf numFmtId="0" fontId="4" fillId="12" borderId="20" xfId="0" applyFont="1" applyFill="1" applyBorder="1" applyAlignment="1">
      <alignment horizontal="center" vertical="center" wrapText="1"/>
    </xf>
  </cellXfs>
  <cellStyles count="3">
    <cellStyle name="Normal" xfId="0" builtinId="0"/>
    <cellStyle name="Normal 2" xfId="2" xr:uid="{444FD2EB-B989-4B87-A1D7-135F3F92FD4D}"/>
    <cellStyle name="Porcentaje" xfId="1" builtinId="5"/>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5D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6.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sharedStrings" Target="sharedStrings.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85725</xdr:colOff>
      <xdr:row>18</xdr:row>
      <xdr:rowOff>0</xdr:rowOff>
    </xdr:from>
    <xdr:to>
      <xdr:col>17</xdr:col>
      <xdr:colOff>9525</xdr:colOff>
      <xdr:row>18</xdr:row>
      <xdr:rowOff>0</xdr:rowOff>
    </xdr:to>
    <xdr:sp macro="" textlink="">
      <xdr:nvSpPr>
        <xdr:cNvPr id="2" name="Line 1">
          <a:extLst>
            <a:ext uri="{FF2B5EF4-FFF2-40B4-BE49-F238E27FC236}">
              <a16:creationId xmlns:a16="http://schemas.microsoft.com/office/drawing/2014/main" id="{37C37CE7-87CC-4915-80CD-4A6D8B8DEE10}"/>
            </a:ext>
          </a:extLst>
        </xdr:cNvPr>
        <xdr:cNvSpPr>
          <a:spLocks noChangeShapeType="1"/>
        </xdr:cNvSpPr>
      </xdr:nvSpPr>
      <xdr:spPr bwMode="auto">
        <a:xfrm>
          <a:off x="0" y="2743200"/>
          <a:ext cx="72009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133350</xdr:colOff>
      <xdr:row>18</xdr:row>
      <xdr:rowOff>9525</xdr:rowOff>
    </xdr:from>
    <xdr:to>
      <xdr:col>8</xdr:col>
      <xdr:colOff>381000</xdr:colOff>
      <xdr:row>33</xdr:row>
      <xdr:rowOff>9525</xdr:rowOff>
    </xdr:to>
    <xdr:sp macro="" textlink="">
      <xdr:nvSpPr>
        <xdr:cNvPr id="3" name="Line 2">
          <a:extLst>
            <a:ext uri="{FF2B5EF4-FFF2-40B4-BE49-F238E27FC236}">
              <a16:creationId xmlns:a16="http://schemas.microsoft.com/office/drawing/2014/main" id="{610DE37F-3995-4349-AA1D-E7EA36BA7488}"/>
            </a:ext>
          </a:extLst>
        </xdr:cNvPr>
        <xdr:cNvSpPr>
          <a:spLocks noChangeShapeType="1"/>
        </xdr:cNvSpPr>
      </xdr:nvSpPr>
      <xdr:spPr bwMode="auto">
        <a:xfrm flipV="1">
          <a:off x="1123950" y="2752725"/>
          <a:ext cx="1733550" cy="1600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95250</xdr:colOff>
      <xdr:row>17</xdr:row>
      <xdr:rowOff>190500</xdr:rowOff>
    </xdr:from>
    <xdr:to>
      <xdr:col>14</xdr:col>
      <xdr:colOff>342900</xdr:colOff>
      <xdr:row>32</xdr:row>
      <xdr:rowOff>190500</xdr:rowOff>
    </xdr:to>
    <xdr:sp macro="" textlink="">
      <xdr:nvSpPr>
        <xdr:cNvPr id="4" name="Line 3">
          <a:extLst>
            <a:ext uri="{FF2B5EF4-FFF2-40B4-BE49-F238E27FC236}">
              <a16:creationId xmlns:a16="http://schemas.microsoft.com/office/drawing/2014/main" id="{4B9F1693-C3A0-4CF1-8C85-BAF8D4E7B9EC}"/>
            </a:ext>
          </a:extLst>
        </xdr:cNvPr>
        <xdr:cNvSpPr>
          <a:spLocks noChangeShapeType="1"/>
        </xdr:cNvSpPr>
      </xdr:nvSpPr>
      <xdr:spPr bwMode="auto">
        <a:xfrm flipV="1">
          <a:off x="4057650" y="2733675"/>
          <a:ext cx="1733550" cy="1600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238125</xdr:colOff>
      <xdr:row>3</xdr:row>
      <xdr:rowOff>0</xdr:rowOff>
    </xdr:from>
    <xdr:to>
      <xdr:col>15</xdr:col>
      <xdr:colOff>485775</xdr:colOff>
      <xdr:row>18</xdr:row>
      <xdr:rowOff>0</xdr:rowOff>
    </xdr:to>
    <xdr:sp macro="" textlink="">
      <xdr:nvSpPr>
        <xdr:cNvPr id="5" name="Line 4">
          <a:extLst>
            <a:ext uri="{FF2B5EF4-FFF2-40B4-BE49-F238E27FC236}">
              <a16:creationId xmlns:a16="http://schemas.microsoft.com/office/drawing/2014/main" id="{EA569D64-519D-4D28-908A-9363077EFB51}"/>
            </a:ext>
          </a:extLst>
        </xdr:cNvPr>
        <xdr:cNvSpPr>
          <a:spLocks noChangeShapeType="1"/>
        </xdr:cNvSpPr>
      </xdr:nvSpPr>
      <xdr:spPr bwMode="auto">
        <a:xfrm>
          <a:off x="4695825" y="419100"/>
          <a:ext cx="1733550" cy="2324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295275</xdr:colOff>
      <xdr:row>3</xdr:row>
      <xdr:rowOff>9525</xdr:rowOff>
    </xdr:from>
    <xdr:to>
      <xdr:col>10</xdr:col>
      <xdr:colOff>47625</xdr:colOff>
      <xdr:row>18</xdr:row>
      <xdr:rowOff>9525</xdr:rowOff>
    </xdr:to>
    <xdr:sp macro="" textlink="">
      <xdr:nvSpPr>
        <xdr:cNvPr id="6" name="Line 6">
          <a:extLst>
            <a:ext uri="{FF2B5EF4-FFF2-40B4-BE49-F238E27FC236}">
              <a16:creationId xmlns:a16="http://schemas.microsoft.com/office/drawing/2014/main" id="{35DC6114-A60B-4968-BB7E-1DA6173B95F4}"/>
            </a:ext>
          </a:extLst>
        </xdr:cNvPr>
        <xdr:cNvSpPr>
          <a:spLocks noChangeShapeType="1"/>
        </xdr:cNvSpPr>
      </xdr:nvSpPr>
      <xdr:spPr bwMode="auto">
        <a:xfrm>
          <a:off x="1781175" y="428625"/>
          <a:ext cx="1733550" cy="2324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342901</xdr:colOff>
      <xdr:row>10</xdr:row>
      <xdr:rowOff>102394</xdr:rowOff>
    </xdr:from>
    <xdr:to>
      <xdr:col>14</xdr:col>
      <xdr:colOff>90489</xdr:colOff>
      <xdr:row>15</xdr:row>
      <xdr:rowOff>76200</xdr:rowOff>
    </xdr:to>
    <xdr:sp macro="" textlink="">
      <xdr:nvSpPr>
        <xdr:cNvPr id="7" name="1 Rectángulo redondeado">
          <a:extLst>
            <a:ext uri="{FF2B5EF4-FFF2-40B4-BE49-F238E27FC236}">
              <a16:creationId xmlns:a16="http://schemas.microsoft.com/office/drawing/2014/main" id="{8897FC9C-FFD3-4848-9B7A-B835679FCDD0}"/>
            </a:ext>
          </a:extLst>
        </xdr:cNvPr>
        <xdr:cNvSpPr/>
      </xdr:nvSpPr>
      <xdr:spPr bwMode="auto">
        <a:xfrm>
          <a:off x="3314701" y="1921669"/>
          <a:ext cx="2224088" cy="57388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8</xdr:col>
      <xdr:colOff>238125</xdr:colOff>
      <xdr:row>4</xdr:row>
      <xdr:rowOff>47625</xdr:rowOff>
    </xdr:from>
    <xdr:to>
      <xdr:col>12</xdr:col>
      <xdr:colOff>466725</xdr:colOff>
      <xdr:row>6</xdr:row>
      <xdr:rowOff>98425</xdr:rowOff>
    </xdr:to>
    <xdr:sp macro="" textlink="">
      <xdr:nvSpPr>
        <xdr:cNvPr id="8" name="8 Rectángulo redondeado">
          <a:extLst>
            <a:ext uri="{FF2B5EF4-FFF2-40B4-BE49-F238E27FC236}">
              <a16:creationId xmlns:a16="http://schemas.microsoft.com/office/drawing/2014/main" id="{12CEC6FB-74C7-4657-A843-3AADB60B3154}"/>
            </a:ext>
          </a:extLst>
        </xdr:cNvPr>
        <xdr:cNvSpPr/>
      </xdr:nvSpPr>
      <xdr:spPr bwMode="auto">
        <a:xfrm>
          <a:off x="2714625" y="666750"/>
          <a:ext cx="2209800" cy="45085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10</xdr:col>
      <xdr:colOff>60325</xdr:colOff>
      <xdr:row>18</xdr:row>
      <xdr:rowOff>69850</xdr:rowOff>
    </xdr:from>
    <xdr:to>
      <xdr:col>13</xdr:col>
      <xdr:colOff>187325</xdr:colOff>
      <xdr:row>20</xdr:row>
      <xdr:rowOff>117475</xdr:rowOff>
    </xdr:to>
    <xdr:sp macro="" textlink="">
      <xdr:nvSpPr>
        <xdr:cNvPr id="9" name="9 Rectángulo redondeado">
          <a:extLst>
            <a:ext uri="{FF2B5EF4-FFF2-40B4-BE49-F238E27FC236}">
              <a16:creationId xmlns:a16="http://schemas.microsoft.com/office/drawing/2014/main" id="{B622C18F-490E-43D5-90B5-1F1C81C23FC7}"/>
            </a:ext>
          </a:extLst>
        </xdr:cNvPr>
        <xdr:cNvSpPr/>
      </xdr:nvSpPr>
      <xdr:spPr bwMode="auto">
        <a:xfrm>
          <a:off x="3527425" y="2813050"/>
          <a:ext cx="1612900" cy="4476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8</xdr:col>
      <xdr:colOff>350838</xdr:colOff>
      <xdr:row>7</xdr:row>
      <xdr:rowOff>33337</xdr:rowOff>
    </xdr:from>
    <xdr:to>
      <xdr:col>13</xdr:col>
      <xdr:colOff>398462</xdr:colOff>
      <xdr:row>10</xdr:row>
      <xdr:rowOff>46037</xdr:rowOff>
    </xdr:to>
    <xdr:sp macro="" textlink="">
      <xdr:nvSpPr>
        <xdr:cNvPr id="10" name="10 Rectángulo redondeado">
          <a:extLst>
            <a:ext uri="{FF2B5EF4-FFF2-40B4-BE49-F238E27FC236}">
              <a16:creationId xmlns:a16="http://schemas.microsoft.com/office/drawing/2014/main" id="{534CCFE3-0EA4-4BC0-8373-C780D9210146}"/>
            </a:ext>
          </a:extLst>
        </xdr:cNvPr>
        <xdr:cNvSpPr/>
      </xdr:nvSpPr>
      <xdr:spPr bwMode="auto">
        <a:xfrm>
          <a:off x="2827338" y="1252537"/>
          <a:ext cx="2524124" cy="6127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3</xdr:col>
      <xdr:colOff>447675</xdr:colOff>
      <xdr:row>8</xdr:row>
      <xdr:rowOff>34925</xdr:rowOff>
    </xdr:from>
    <xdr:to>
      <xdr:col>8</xdr:col>
      <xdr:colOff>9524</xdr:colOff>
      <xdr:row>11</xdr:row>
      <xdr:rowOff>57150</xdr:rowOff>
    </xdr:to>
    <xdr:sp macro="" textlink="">
      <xdr:nvSpPr>
        <xdr:cNvPr id="11" name="12 Rectángulo redondeado">
          <a:extLst>
            <a:ext uri="{FF2B5EF4-FFF2-40B4-BE49-F238E27FC236}">
              <a16:creationId xmlns:a16="http://schemas.microsoft.com/office/drawing/2014/main" id="{6CC6A005-882B-4830-B285-0772A73B9941}"/>
            </a:ext>
          </a:extLst>
        </xdr:cNvPr>
        <xdr:cNvSpPr/>
      </xdr:nvSpPr>
      <xdr:spPr bwMode="auto">
        <a:xfrm>
          <a:off x="447675" y="1454150"/>
          <a:ext cx="2038349" cy="62230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3</xdr:col>
      <xdr:colOff>450848</xdr:colOff>
      <xdr:row>4</xdr:row>
      <xdr:rowOff>101600</xdr:rowOff>
    </xdr:from>
    <xdr:to>
      <xdr:col>7</xdr:col>
      <xdr:colOff>342899</xdr:colOff>
      <xdr:row>7</xdr:row>
      <xdr:rowOff>76200</xdr:rowOff>
    </xdr:to>
    <xdr:sp macro="" textlink="">
      <xdr:nvSpPr>
        <xdr:cNvPr id="12" name="13 Rectángulo redondeado">
          <a:extLst>
            <a:ext uri="{FF2B5EF4-FFF2-40B4-BE49-F238E27FC236}">
              <a16:creationId xmlns:a16="http://schemas.microsoft.com/office/drawing/2014/main" id="{CE765A24-B1CB-4455-A0D8-A11FBAE5A1D0}"/>
            </a:ext>
          </a:extLst>
        </xdr:cNvPr>
        <xdr:cNvSpPr/>
      </xdr:nvSpPr>
      <xdr:spPr bwMode="auto">
        <a:xfrm>
          <a:off x="450848" y="720725"/>
          <a:ext cx="1987551" cy="5746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8</xdr:col>
      <xdr:colOff>4762</xdr:colOff>
      <xdr:row>20</xdr:row>
      <xdr:rowOff>184943</xdr:rowOff>
    </xdr:from>
    <xdr:to>
      <xdr:col>12</xdr:col>
      <xdr:colOff>149224</xdr:colOff>
      <xdr:row>24</xdr:row>
      <xdr:rowOff>9524</xdr:rowOff>
    </xdr:to>
    <xdr:sp macro="" textlink="">
      <xdr:nvSpPr>
        <xdr:cNvPr id="13" name="14 Rectángulo redondeado">
          <a:extLst>
            <a:ext uri="{FF2B5EF4-FFF2-40B4-BE49-F238E27FC236}">
              <a16:creationId xmlns:a16="http://schemas.microsoft.com/office/drawing/2014/main" id="{78648F49-C8BD-4B99-901D-40888CCB0DB2}"/>
            </a:ext>
          </a:extLst>
        </xdr:cNvPr>
        <xdr:cNvSpPr/>
      </xdr:nvSpPr>
      <xdr:spPr bwMode="auto">
        <a:xfrm>
          <a:off x="2481262" y="3328193"/>
          <a:ext cx="2125662" cy="62468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r>
            <a:rPr lang="en-US" sz="1100" baseline="0"/>
            <a:t>.</a:t>
          </a:r>
          <a:endParaRPr lang="en-US" sz="1100"/>
        </a:p>
      </xdr:txBody>
    </xdr:sp>
    <xdr:clientData/>
  </xdr:twoCellAnchor>
  <xdr:twoCellAnchor>
    <xdr:from>
      <xdr:col>3</xdr:col>
      <xdr:colOff>266700</xdr:colOff>
      <xdr:row>18</xdr:row>
      <xdr:rowOff>63500</xdr:rowOff>
    </xdr:from>
    <xdr:to>
      <xdr:col>6</xdr:col>
      <xdr:colOff>407194</xdr:colOff>
      <xdr:row>22</xdr:row>
      <xdr:rowOff>104775</xdr:rowOff>
    </xdr:to>
    <xdr:sp macro="" textlink="">
      <xdr:nvSpPr>
        <xdr:cNvPr id="14" name="15 Rectángulo redondeado">
          <a:extLst>
            <a:ext uri="{FF2B5EF4-FFF2-40B4-BE49-F238E27FC236}">
              <a16:creationId xmlns:a16="http://schemas.microsoft.com/office/drawing/2014/main" id="{1FF2C2C8-2C9C-4A82-B5BA-1536246493CF}"/>
            </a:ext>
          </a:extLst>
        </xdr:cNvPr>
        <xdr:cNvSpPr/>
      </xdr:nvSpPr>
      <xdr:spPr bwMode="auto">
        <a:xfrm>
          <a:off x="266700" y="2806700"/>
          <a:ext cx="1626394" cy="8413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13</xdr:col>
      <xdr:colOff>361949</xdr:colOff>
      <xdr:row>19</xdr:row>
      <xdr:rowOff>114301</xdr:rowOff>
    </xdr:from>
    <xdr:to>
      <xdr:col>16</xdr:col>
      <xdr:colOff>419100</xdr:colOff>
      <xdr:row>22</xdr:row>
      <xdr:rowOff>103188</xdr:rowOff>
    </xdr:to>
    <xdr:sp macro="" textlink="">
      <xdr:nvSpPr>
        <xdr:cNvPr id="15" name="16 Rectángulo redondeado">
          <a:extLst>
            <a:ext uri="{FF2B5EF4-FFF2-40B4-BE49-F238E27FC236}">
              <a16:creationId xmlns:a16="http://schemas.microsoft.com/office/drawing/2014/main" id="{018500EE-AD6F-451C-B3DD-3194C2D60DDD}"/>
            </a:ext>
          </a:extLst>
        </xdr:cNvPr>
        <xdr:cNvSpPr/>
      </xdr:nvSpPr>
      <xdr:spPr bwMode="auto">
        <a:xfrm>
          <a:off x="5314949" y="3057526"/>
          <a:ext cx="1543051" cy="58896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12</xdr:col>
      <xdr:colOff>266700</xdr:colOff>
      <xdr:row>22</xdr:row>
      <xdr:rowOff>190500</xdr:rowOff>
    </xdr:from>
    <xdr:to>
      <xdr:col>16</xdr:col>
      <xdr:colOff>411162</xdr:colOff>
      <xdr:row>33</xdr:row>
      <xdr:rowOff>15081</xdr:rowOff>
    </xdr:to>
    <xdr:sp macro="" textlink="">
      <xdr:nvSpPr>
        <xdr:cNvPr id="17" name="18 Rectángulo redondeado">
          <a:extLst>
            <a:ext uri="{FF2B5EF4-FFF2-40B4-BE49-F238E27FC236}">
              <a16:creationId xmlns:a16="http://schemas.microsoft.com/office/drawing/2014/main" id="{3AFF81DB-4D66-4B44-B467-AA1834EA71F1}"/>
            </a:ext>
          </a:extLst>
        </xdr:cNvPr>
        <xdr:cNvSpPr/>
      </xdr:nvSpPr>
      <xdr:spPr bwMode="auto">
        <a:xfrm>
          <a:off x="4724400" y="3733800"/>
          <a:ext cx="2125662" cy="62468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CMVA_GESTION\PREVISIONAL\GESTION\Rep4\A\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taco.sharepoint.com/Users/dmarin/Documents/ACTIVOS%20DE%20CONOCIMIENTO/OBSERVACIONES%20DDP/DIAGNOSTICO_DDP_(CADENAS_PRODUCTIVAS)_FINAL.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IVD\Diffusion%20Interne\Tableau%20de%20bord\Arch2001\Arch2001\TB99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wms11.mc2.renault.fr/attach/FICHA-PP-2004%20n&#186;%2016.xls?sid=bhMSU4atOjs&amp;mbox=PAP%202004/Fichas%20PAP%202004&amp;charset=escaped_unicode&amp;uid=11&amp;number=8&amp;filename=FICHA-PP-2004%20n%BA%201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taco.sharepoint.com/Users/dmarin/Downloads/ENTREGABLES_DDP_2022%20(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wxsdv02\DONNEES\Informations%20Transversales%20Usine\Groupes%20transversaux\PAP%20Usine\Management%20du%20progr&#232;s\Outils%20de%20progr&#232;s\BOS\BOSOG0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ctaco.sharepoint.com/Users/user/Downloads/4-ARCHIVO_DE_CIERRE_PROVEE%20INGEOMEGA%20_JT0308.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T:\MEMOS\EVV\PROVMO97\SSEE\TASASMO.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minerva:8070/Users/larenas/Desktop/DIAGNOSTICO_DDP_CADENAS_PRODUCTIVAS.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fiducoldexsa.sharepoint.com/Downloads/Formulario%20v2.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ctaco-my.sharepoint.com/personal/ngaleano_cta_org_co/Documents/PROYECTOS/Archivados/FONTUR/FORMATOS/HERRAMIENTA_PLAN_MEJOR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5_CTA%20-%20ALL%202025/01_%20DDP_CTA_2025+/0.%20EMPRESAS%20DDP/TELMA%20Y%20proveedores/DIAGNOSTICO_DDP_TALMA_230725.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ctaco.sharepoint.com/JTK%20%20270820%20-ALL/00-2021/2021%20Fdp%20CTA/IPROCOM%20FdP/FII-01%20FORMATO%20INTEGRAL%20DE%20INTERVENCI&#211;N%20IPROCOM%20jk.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ocuments%20and%20Settings\s313557\Local%20Settings\Temp\Directorio%20temporal%201%20para%20Planning%20Proyectos.zip\Ignacio\GrfCDU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ctaco.sharepoint.com/Documents%20and%20Settings/Anton%20M%20Dunyo%20Esteve/Mis%20documentos/E-DITOR%20ANTERIOR%20Y%20ALTRES/PRODUCTES%20ENTREGATS/2%20EXCEL/PE101%20Pto%20Equilibrio/FinancialMetricsPro_201_1365764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Z:\DAC_INFO_DoctosGeneral\DAC_INFO_Practica_022015\PERFILES%20SERVICIOS%20DE%20INGENIER&#205;A\PLANTILLAS_SERVICIOS_SUBESTACIONES.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ctaco.sharepoint.com/sites/intranet/enplanta_ddp/Documentos%20compartidos/CO_24_08_MPIO_MEDELLIN/EJECUCION/EMPRESAS/DDP_EMPRESA_EXTENDIDA/LUZ_HELENA_OSORNO/ALICO/3_ACOMPANAMIENTO/F1_ALICO.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WINDOWS\Archivos%20temporales%20de%20Internet\Content.IE5\EYGLZUIA\21841-76940_VAL_QC_story_set(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gparodi/AppData/Local/Microsoft/Windows/INetCache/Content.Outlook/EPXEEE3A/Fto%20guia%20de%20DdP%2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minerva:8070/Users/gparodi/AppData/Local/Microsoft/Windows/INetCache/Content.Outlook/EPXEEE3A/Fto%20guia%20de%20DdP%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M"/>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MENSIONES"/>
      <sheetName val="DIAGNOSTICO CADENAS PRODUCT"/>
      <sheetName val="PUNTUACION"/>
      <sheetName val="RESULTADOS"/>
      <sheetName val="Hoja1"/>
    </sheetNames>
    <sheetDataSet>
      <sheetData sheetId="0"/>
      <sheetData sheetId="1">
        <row r="49">
          <cell r="H49" t="e">
            <v>#DIV/0!</v>
          </cell>
        </row>
      </sheetData>
      <sheetData sheetId="2">
        <row r="4">
          <cell r="D4" t="e">
            <v>#DIV/0!</v>
          </cell>
        </row>
        <row r="5">
          <cell r="D5" t="e">
            <v>#DIV/0!</v>
          </cell>
        </row>
        <row r="6">
          <cell r="D6" t="e">
            <v>#DIV/0!</v>
          </cell>
        </row>
        <row r="7">
          <cell r="D7" t="e">
            <v>#DIV/0!</v>
          </cell>
        </row>
        <row r="8">
          <cell r="D8" t="e">
            <v>#DIV/0!</v>
          </cell>
        </row>
      </sheetData>
      <sheetData sheetId="3"/>
      <sheetData sheetId="4">
        <row r="8">
          <cell r="D8" t="str">
            <v>La empresa cliente no integra dentro de su estrategia corporativa la gestión y el desarrollo de proveedores. 
Para mejorar su plan estratégico y la gestión de sus proveedores, la empresa puede desarrollar un plan estratégico claro y bien estructurado, enfocado en el desarrollo de sus proveedores con metas definidas tanto a corto como a mediano plazo. Este plan puede incluir la definición de indicadores específicos para medir y seguir el desempeño de los proveedores, así como el reconocimiento del papel que la gestión de proveedores desempeña en la generación de valor. 
Además, la dirección debe asignar recursos en el presupuesto anual para el mejoramiento continuo de la gestión de proveedores y promover activamente sinergias y alianzas para fortalecer la cadena de suministro.</v>
          </cell>
          <cell r="F8" t="str">
            <v>La empresa cliente y el proveedor no tienen una suficiente organización transversal  para desarrollar competencias que mejoren el conocimiento de los productos y servicios que el proveedor entrega. Se detecta es suceptible a mejora los procesos de operatividad operacional.
Para mejorar la productividad operacional, la empresa puede implementar planes de formación continuos para el personal de los proveedores, con el objetivo de fortalecer sus competencias y mejorar el desempeño. Además, es esencial establecer un sistema riguroso para medir y mejorar los tiempos de entrega (lead time) y la eliminación de operaciones de no valor agregado (NVA). La planificación de operaciones y la gestión de materiales deben realizarse con información precisa y oportuna de la empresa cliente, garantizando que los productos y servicios se reciban sin deterioros ni faltantes, y minimizando las no conformidades.</v>
          </cell>
        </row>
        <row r="9">
          <cell r="D9" t="str">
            <v>La empresa cliente declara dentro de su estrategia corporativa la gestión y el desarrollo de proveedores, sin embargo  se identifica es un factor por mejorar con el objetivo de aumentar la productividad, competitividad y fortalecer el relacionamiento entre el proveedor y empresa cliente.
Por ello, La empresa puede beneficiarse de una revisión y ajuste de su plan estratégico para incluir metas claras y específicas para el desarrollo de proveedores. Es importante establecer un sistema de evaluación regular de los indicadores de desempeño y trabajar conjuntamente con los proveedores para analizar y mejorar los resultados. La gestión de proveedores debe implementarse como un mecanismo integral de generación de valor, y es necesario asignar recursos de manera sistemática en el presupuesto para iniciativas de mejora. Además, se deben estructurar y formalizar las alianzas y sinergias con proveedores para optimizar la cadena de suministro.</v>
          </cell>
          <cell r="F9" t="str">
            <v xml:space="preserve">La empresa cliente y el proveedor  tienen una  organización transversal  para desarrollar competencias, es susceptible de mejorar el trabajar oportunamente en acciones de transferencia de conocimiento para mejorar los procesos de productividad operacional. Un buen enfoque puede darse al fortalecer los planes de formación existentes, asegurando que estos no solo se implementen en casos de problemas, sino como parte de una estrategia preventiva y de mejora continua. Así mismo es importante realizar un seguimiento constante y mejorar los tiempos de entrega, así como gestionar activamente la eliminación de las actividades y tiempos que no agregan valor, en colaboración con los proveedores. También se puede trabajar en equipo en generar una planificación de operaciones efectiva, utilizando información precisa de la empresa cliente, y trabajar en conjunto para reducir las no conformidades y mejorar la calidad de los productos y servicios. </v>
          </cell>
        </row>
        <row r="10">
          <cell r="D10" t="str">
            <v>La empresa cliente integra a su estrategia corporativa la gestión para el desarrollo de proveedores, la comunicación  y promoción de planes de mejora en productividad, innovación, además de explorar nuevas oportunidades para el aumento de la competitividad de la cadena de suministro. 
Por ello, es recomendable mantener y fortalecer el plan estratégico existente, asegurando su actualización continua en respuesta a las dinámicas del mercado y las necesidades de los proveedores. Es crucial seguir revisando y mejorando los indicadores de desempeño en colaboración con los proveedores, asegurando que se alcancen y superen las metas establecidas. Además, debe mantenerse un enfoque en la innovación y la generación de valor, asignando consistentemente recursos en el presupuesto para el desarrollo de proveedores y ampliando las sinergias y alianzas estratégicas para obtener beneficios mutuos.</v>
          </cell>
          <cell r="F10" t="str">
            <v>La empresa cliente define e implementa actividades  y procesos que le apuestan al relacionamiento y desarrollo  de proveedores logrando una productividad operacional y fortaleciendo las capacidades y la calidad empresarial.
Por ello es recomendable,  mantener y mejorar los planes de formación, asegurando que el personal de los proveedores esté siempre actualizado y capacitado. Continuar con la medición y mejora de los tiempos de entrega y la eliminación de los tiempos y actividades que no agregan valor, implementando nuevas tecnologías y metodologías para optimizar estos procesos. Además, es crucial seguir mejorando la planificación de operaciones y la gestión de materiales, garantizando que se mantenga la alta calidad de los productos y servicios recibidos y minimizando cualquier incidencia de no conformidades.</v>
          </cell>
        </row>
        <row r="11">
          <cell r="F11" t="str">
            <v>Desde el planteamiento estratégico se evidencia una falencia e importancia en implementar acciones que vayan en pro de detectar las capacidades y competencias para generar nuevas ideas/procesos y/o  buscar mejorar los mismos en conjunto con los proveedores. 
Para impulsar la mejora continua, la empresa debe establecer un proceso estructurado y permanente de mejora interna que sea visible y medible. Es fundamental integrar a los proveedores en estos procesos de mejora, creando un sistema de indicadores de desempeño que permita medir y seguir los avances. Además, deben implementarse mecanismos preventivos para asegurar y controlar la calidad de los productos, procesos y servicios de los proveedores, con un enfoque en la satisfacción del cliente final y la participación activa de la dirección y colaboradores en actividades de mejora.</v>
          </cell>
        </row>
        <row r="12">
          <cell r="F12" t="str">
            <v>La empresa cliente en conjunto con sus proveedores busca mejoras en sus procesos técnicos y estrategias, sin embargo, no se tienen suficientes evidencias de resultados en  mejoras de capacidades o competitividad. 
Por lo anterior, La empresa puede consolidar las acciones de mejora continua existentes, estructurando un proceso formal y sistemático que incluya la integración de los proveedores. Es esencial contar con indicadores de desempeño claros y precisos que permitan medir y seguir la contribución de los proyectos de mejora continua. Se deben así mismo,  fortalecer los mecanismos de aseguramiento y control de calidad, y trabajar conjuntamente con los proveedores para implementar proyectos y estrategias que mejoren la satisfacción del cliente final. La dirección y los colaboradores deben participar activamente en las iniciativas de mejora continua.</v>
          </cell>
        </row>
        <row r="13">
          <cell r="F13" t="str">
            <v>La empresa cliente concerta sus esfuerzos con los proveedores y ejecutan actividades en pro de desarrollar  capacidades y competencias para generar nuevas ideas/procesos y/o  buscando mejoras en los mismos y generando un valor agregado para las organizaciones. Para empresas con un alto nivel de desempeño en mejora continua, es importante seguir estructurando y perfeccionando el proceso de mejora, asegurando la integración completa de los proveedores y optimizando los indicadores de desempeño. Se deben mantener y mejorar los mecanismos preventivos de aseguramiento y control de calidad, y continuar implementando proyectos y estrategias conjuntas con los proveedores para mejorar la satisfacción del cliente final. Además, es crucial que la dirección y los colaboradores sigan participando activamente en todas las actividades, promoviendo una cultura de mejora constante y colaboración efectiva.</v>
          </cell>
        </row>
        <row r="14">
          <cell r="F14" t="str">
            <v>Para la empresa cliente y el desarrollo de sus proveedores se detecta no se implementan suficientes acciones que van en pro de la apropiación y adopción de conocimientos de innovación y tecnología permite una mejora en los procesos. 
Para fomentar la innovación, la empresa debe implementar herramientas tecnológicas y digitales que faciliten el trabajo colaborativo y  permitan optimizar los procesos, así mismo se recomienda realizar actividades de vigilancia tecnológica para identificar oportunidades de innovación y fomentar la automatización de procesos críticos.</v>
          </cell>
        </row>
        <row r="15">
          <cell r="F15" t="str">
            <v xml:space="preserve">La empresa Cliente trabaja en desarrollar sus competencias individuales en torno a la innovación, aunque es necesario extender estas iniciativas e integrarlas en la gestión y desarrollo de proveedores para generar un mayor valor. 
Por ello, se recomienda, que la empresa mejore la integración y uso de herramientas tecnológicas y digitales de apoyo, asegurando que estas se utilicen de manera efectiva en colaboración con los proveedores. Así mismo, la transformación digital puede optimizar las transacciones comerciales y el seguimiento de la satisfacción del cliente, realizar una vigilancia tecnológica efectiva y fomentar la automatización de procesos críticos. </v>
          </cell>
        </row>
        <row r="16">
          <cell r="F16" t="str">
            <v>La empresa Cliente trabaja en desarrollar sus competencias individuales y colectivas con sus proveedores, intercambian sus conocimientos, aprendizajes y ponen en práctica procesos que van en pro del desarrollo conjunto de innovación y demuestran resultados positivos en la  generación de capacidades que agreguen valor a la empresa extendida. 
Es importante  mantener y mejorar el uso de herramientas tecnológicas y digitales, asegurando su integración total y efectiva en los procesos de colaboración con los proveedores. Se debe seguir desarrollando y ejecutando un plan de innovación y continuar con la  vigilancia tecnológica, gestionando planes y proyectos de innovación de manera proactiva. Además, es crucial seguir fomentando la automatización de procesos críticos y la participación activa de los proveedores en programas de transformación digital e innovación abierta.</v>
          </cell>
        </row>
        <row r="17">
          <cell r="F17" t="str">
            <v>Las acciones conjuntas con los proveedores en pro de trabajar con temas relacionados con la sostenibilidad son insuficientes. Por ello, para mejorar la sostenibilidad, la empresa debe realizar análisis regulares para identificar fuentes de desperdicio y contaminación, y establecer planes de mejora conjuntamente con los proveedores. Es esencial desarrollar acciones de economía circular desde el diseño hasta el consumo de los productos y servicios, y gestionar un plan de mejoramiento ambiental en colaboración con los proveedores. Además, se debe trabajar en la comunicación y gestión de desechos y emisiones, promoviendo acciones de reciclaje y reutilización y participando en procesos sociales que promuevan la equidad y la mejora de la calidad de vida de los colaboradores y la comunidad impactada.</v>
          </cell>
        </row>
        <row r="18">
          <cell r="F18" t="str">
            <v>Se tienen lineamientos en conjunto con los proveedores que buscan integrar a sus objetivos acciones encaminadas a generar sostenibilidad, sin embargo, se debe trabajar en la implementación de acciones que materialicen este propósito. Es entonces recomendable que se pueda trabajar en torno a la  identificación de fuentes de desperdicio y contaminación, desarrollando planes de mejora y acciones de economía circular en colaboración con los proveedores. Es crucial gestionar y desarrollar planes de mejoramiento ambiental, asegurando la comunicación y gestión de desechos y emisiones. Se deben promover acciones de reciclaje y reutilización de manera más efectiva y participar activamente en procesos sociales para mejorar la calidad de vida de los colaboradores y la comunidad impactada.</v>
          </cell>
        </row>
        <row r="19">
          <cell r="F19" t="str">
            <v>Se determina como un factor de revelancia dentro de la estrategia corporativa y el trabajo colaborativo con los proveedores el integrar en sus objetivos  y llevar a cabo acciones que vayan en pro de trabajar no sólo a temas económicos, sino también fortalecer aspectos ambientales y sociales. Por lo anterior, es importante seguir realizando análisis regulares y detallados para identificar y mitigar fuentes de desperdicio y contaminación, implementando acciones de mejora continua. Se deben mantener y optimizar las acciones de economía circular y los planes de mejoramiento ambiental, asegurando una comunicación efectiva sobre la gestión de desechos y emisiones. Además, es crucial seguir promoviendo y participando activamente en acciones de reciclaje y reutilización, y en procesos sociales que promuevan la equidad y la mejora de la calidad de vida de los colaboradores y la comunidad impactada, demostrando un compromiso constante con la sostenibilidad.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SB56"/>
      <sheetName val="00000000000000000000000000"/>
      <sheetName val="000000000000000000"/>
      <sheetName val="000000000000000000000000000000"/>
      <sheetName val="ROUDOT_56"/>
      <sheetName val="ROUDOT_54"/>
      <sheetName val="GALLAIS1"/>
      <sheetName val="GALLAIS2"/>
      <sheetName val="PETIT01"/>
    </sheetNames>
    <sheetDataSet>
      <sheetData sheetId="0" refreshError="1"/>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00000000000000000000"/>
      <sheetName val="Hoja2"/>
      <sheetName val="Hoja3"/>
      <sheetName val="Hoja4"/>
      <sheetName val="Hoja5"/>
      <sheetName val="Hoja6"/>
      <sheetName val="Hoja7"/>
      <sheetName val="Hoja8"/>
      <sheetName val="Hoja9"/>
      <sheetName val="Hoja10"/>
      <sheetName val="Hoja11"/>
      <sheetName val="Hoja12"/>
      <sheetName val="Hoja13"/>
      <sheetName val="Hoja14"/>
      <sheetName val="Hoja15"/>
      <sheetName val="Hoja16"/>
    </sheetNames>
    <sheetDataSet>
      <sheetData sheetId="0">
        <row r="3">
          <cell r="A3" t="str">
            <v>PAP 2004: SEGUIMIENTO ACCIÓN PRIORITARIA Nº 16</v>
          </cell>
        </row>
        <row r="8">
          <cell r="A8" t="str">
            <v xml:space="preserve"> DEPARTAMENTO: DIVD</v>
          </cell>
        </row>
        <row r="10">
          <cell r="A10" t="str">
            <v>OBJETIVO:Reducir los riesgos de accidentes</v>
          </cell>
        </row>
        <row r="12">
          <cell r="A12" t="str">
            <v>ACCION PRIORITARIA:Despliegue y respeto de las consignas de seguridad/Firma de los CCS instalaciones J77</v>
          </cell>
        </row>
        <row r="16">
          <cell r="A16" t="str">
            <v>PILOTO:Belisario Bailador y COPILOTO Victor Fdez</v>
          </cell>
        </row>
        <row r="19">
          <cell r="A19" t="str">
            <v xml:space="preserve"> COLABORADORES </v>
          </cell>
          <cell r="D19" t="str">
            <v>FUNCION</v>
          </cell>
          <cell r="G19" t="str">
            <v>OBSERVACIONES</v>
          </cell>
        </row>
        <row r="21">
          <cell r="A21" t="str">
            <v>Juan Pablo Glez Melgosa</v>
          </cell>
          <cell r="D21" t="str">
            <v>Chapa</v>
          </cell>
        </row>
        <row r="22">
          <cell r="A22" t="str">
            <v>Luis Fdez Arias</v>
          </cell>
          <cell r="D22" t="str">
            <v>Chasis</v>
          </cell>
        </row>
        <row r="23">
          <cell r="A23" t="str">
            <v>Fco Mtez Iglesias</v>
          </cell>
          <cell r="D23" t="str">
            <v>Pintura</v>
          </cell>
        </row>
        <row r="24">
          <cell r="A24" t="str">
            <v>Gaspar Garcia</v>
          </cell>
          <cell r="D24" t="str">
            <v>Montaje</v>
          </cell>
          <cell r="G24" t="str">
            <v xml:space="preserve">Periodicamente y en función de las necesidades se invitara a </v>
          </cell>
        </row>
        <row r="25">
          <cell r="A25" t="str">
            <v>Olivier Pareja</v>
          </cell>
          <cell r="D25" t="str">
            <v>Calidad</v>
          </cell>
          <cell r="G25" t="str">
            <v>otros estamentos implicados</v>
          </cell>
        </row>
        <row r="26">
          <cell r="A26" t="str">
            <v>Santiago Martin</v>
          </cell>
          <cell r="D26" t="str">
            <v>Condic. Trabajo</v>
          </cell>
        </row>
        <row r="34">
          <cell r="A34" t="str">
            <v xml:space="preserve">  ETAPAS PLAN DE ACCION:</v>
          </cell>
        </row>
        <row r="36">
          <cell r="A36" t="str">
            <v>1 è</v>
          </cell>
          <cell r="B36" t="str">
            <v>Censo de las instalaciones con la fecha prevista del ATMR</v>
          </cell>
        </row>
        <row r="37">
          <cell r="A37" t="str">
            <v>2 è</v>
          </cell>
          <cell r="B37" t="str">
            <v>Establecer listado de personal afectado</v>
          </cell>
        </row>
        <row r="38">
          <cell r="A38" t="str">
            <v>3 è</v>
          </cell>
          <cell r="B38" t="str">
            <v>Formación en la norma EB.75.04.130/B</v>
          </cell>
        </row>
        <row r="39">
          <cell r="A39" t="str">
            <v>4 è</v>
          </cell>
          <cell r="B39" t="str">
            <v>Reuniones mensuales con los responsables de las instalaciones afectadas</v>
          </cell>
        </row>
        <row r="40">
          <cell r="A40" t="str">
            <v>5 è</v>
          </cell>
          <cell r="B40" t="str">
            <v>Planes de acción, estandarización y mejora del sistema</v>
          </cell>
        </row>
        <row r="45">
          <cell r="A45" t="str">
            <v xml:space="preserve"> INDICADORES - OBJETIVOS (Proceso - Resultados): </v>
          </cell>
        </row>
        <row r="48">
          <cell r="A48" t="str">
            <v>Procesos : Nº CCS firmados respecto a los previstos</v>
          </cell>
        </row>
        <row r="50">
          <cell r="A50" t="str">
            <v>Resultado : 100% CCS firmados antes del arranque de las instalaciones</v>
          </cell>
        </row>
        <row r="54">
          <cell r="A54" t="str">
            <v>PLANIFICACIÓN</v>
          </cell>
        </row>
        <row r="56">
          <cell r="A56" t="str">
            <v xml:space="preserve">    Líneas</v>
          </cell>
          <cell r="B56" t="str">
            <v>ENE.</v>
          </cell>
          <cell r="C56" t="str">
            <v>FEB.</v>
          </cell>
          <cell r="D56" t="str">
            <v>MAR.</v>
          </cell>
          <cell r="E56" t="str">
            <v>ABR.</v>
          </cell>
          <cell r="F56" t="str">
            <v>MAY.</v>
          </cell>
          <cell r="G56" t="str">
            <v>JUN.</v>
          </cell>
          <cell r="H56" t="str">
            <v>JUL.</v>
          </cell>
          <cell r="I56" t="str">
            <v>AG.</v>
          </cell>
          <cell r="J56" t="str">
            <v>SEPT.</v>
          </cell>
          <cell r="K56" t="str">
            <v>OCT.</v>
          </cell>
          <cell r="L56" t="str">
            <v>NOV.</v>
          </cell>
          <cell r="M56" t="str">
            <v>DIC.</v>
          </cell>
        </row>
        <row r="57">
          <cell r="A57">
            <v>1</v>
          </cell>
        </row>
        <row r="58">
          <cell r="A58">
            <v>2</v>
          </cell>
        </row>
        <row r="59">
          <cell r="A59">
            <v>3</v>
          </cell>
        </row>
        <row r="60">
          <cell r="A60">
            <v>4</v>
          </cell>
        </row>
        <row r="61">
          <cell r="A61">
            <v>5</v>
          </cell>
        </row>
        <row r="63">
          <cell r="D63" t="str">
            <v>Previsto</v>
          </cell>
          <cell r="F63" t="str">
            <v xml:space="preserve">Real </v>
          </cell>
          <cell r="H63" t="str">
            <v>En atraso</v>
          </cell>
        </row>
        <row r="67">
          <cell r="A67" t="str">
            <v xml:space="preserve"> </v>
          </cell>
          <cell r="H67" t="str">
            <v xml:space="preserve"> </v>
          </cell>
          <cell r="M67" t="str">
            <v xml:space="preserve">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odología DDP"/>
      <sheetName val="1. RETOS DE INNOVACIÓN"/>
      <sheetName val="2. MARCO DE EMPATÍA"/>
      <sheetName val="3. PLAN DE TRABAJO"/>
      <sheetName val="4. SEGUIMIENTO DE CONTRAMEDIDAS"/>
      <sheetName val="5. RESULTADOS"/>
      <sheetName val="6.  INDICADORES"/>
      <sheetName val="KPT"/>
      <sheetName val="CÁLCULOS"/>
      <sheetName val="s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13">
          <cell r="D13">
            <v>1</v>
          </cell>
          <cell r="E13" t="str">
            <v>Enero</v>
          </cell>
        </row>
        <row r="14">
          <cell r="D14">
            <v>2</v>
          </cell>
          <cell r="E14" t="str">
            <v>Febrero</v>
          </cell>
        </row>
        <row r="15">
          <cell r="D15">
            <v>3</v>
          </cell>
          <cell r="E15" t="str">
            <v>Marzo</v>
          </cell>
        </row>
        <row r="16">
          <cell r="D16">
            <v>4</v>
          </cell>
          <cell r="E16" t="str">
            <v>Abril</v>
          </cell>
        </row>
        <row r="17">
          <cell r="D17">
            <v>5</v>
          </cell>
          <cell r="E17" t="str">
            <v>Mayo</v>
          </cell>
        </row>
        <row r="18">
          <cell r="D18">
            <v>6</v>
          </cell>
          <cell r="E18" t="str">
            <v>Junio</v>
          </cell>
        </row>
        <row r="19">
          <cell r="D19">
            <v>7</v>
          </cell>
          <cell r="E19" t="str">
            <v>Julio</v>
          </cell>
        </row>
        <row r="20">
          <cell r="D20">
            <v>8</v>
          </cell>
          <cell r="E20" t="str">
            <v>Agosto</v>
          </cell>
        </row>
        <row r="21">
          <cell r="D21">
            <v>9</v>
          </cell>
          <cell r="E21" t="str">
            <v>Septiembre</v>
          </cell>
        </row>
        <row r="22">
          <cell r="D22">
            <v>10</v>
          </cell>
          <cell r="E22" t="str">
            <v>Octubre</v>
          </cell>
        </row>
        <row r="23">
          <cell r="D23">
            <v>11</v>
          </cell>
          <cell r="E23" t="str">
            <v>Noviembre</v>
          </cell>
        </row>
        <row r="24">
          <cell r="D24">
            <v>12</v>
          </cell>
          <cell r="E24" t="str">
            <v>Diciembre</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 val="Tcr"/>
      <sheetName val="BOS"/>
      <sheetName val="Aide"/>
      <sheetName val="Table"/>
    </sheetNames>
    <sheetDataSet>
      <sheetData sheetId="0">
        <row r="1">
          <cell r="B1" t="str">
            <v>rotation</v>
          </cell>
          <cell r="E1" t="str">
            <v>calcul</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1-CUADR_CONTROL"/>
      <sheetName val="C2-CUALITATIVOS"/>
      <sheetName val="C3-LB_COMPARATIVO"/>
      <sheetName val="C4-CAMBIOS_SGC"/>
      <sheetName val="C5-NUEVAS_OP_PROV"/>
      <sheetName val="Listas"/>
    </sheetNames>
    <sheetDataSet>
      <sheetData sheetId="0"/>
      <sheetData sheetId="1"/>
      <sheetData sheetId="2">
        <row r="35">
          <cell r="I35" t="str">
            <v>LINEA BASE DE ENTRADA</v>
          </cell>
        </row>
      </sheetData>
      <sheetData sheetId="3"/>
      <sheetData sheetId="4"/>
      <sheetData sheetId="5">
        <row r="4">
          <cell r="B4" t="str">
            <v>Costos</v>
          </cell>
        </row>
        <row r="5">
          <cell r="B5" t="str">
            <v>Tiempos</v>
          </cell>
        </row>
        <row r="6">
          <cell r="B6" t="str">
            <v>Mejoramiento de desempeño</v>
          </cell>
        </row>
        <row r="7">
          <cell r="B7" t="str">
            <v>Costos, Tiempos, Desempeño</v>
          </cell>
        </row>
        <row r="8">
          <cell r="B8" t="str">
            <v>HSE</v>
          </cell>
        </row>
        <row r="9">
          <cell r="B9" t="str">
            <v>Gestión interna</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sas"/>
    </sheetNames>
    <sheetDataSet>
      <sheetData sheetId="0" refreshError="1">
        <row r="4">
          <cell r="C4">
            <v>2386.4443666376055</v>
          </cell>
          <cell r="E4">
            <v>2499.1063238012207</v>
          </cell>
          <cell r="G4">
            <v>3445.5576501017149</v>
          </cell>
        </row>
        <row r="9">
          <cell r="C9">
            <v>2139</v>
          </cell>
          <cell r="E9">
            <v>2259</v>
          </cell>
          <cell r="G9">
            <v>2627</v>
          </cell>
        </row>
        <row r="10">
          <cell r="C10">
            <v>658.81200000000001</v>
          </cell>
          <cell r="E10">
            <v>695.77199999999993</v>
          </cell>
          <cell r="G10">
            <v>809.1160000000001</v>
          </cell>
        </row>
        <row r="14">
          <cell r="C14">
            <v>410.68799999999993</v>
          </cell>
          <cell r="E14">
            <v>433.72799999999995</v>
          </cell>
          <cell r="G14">
            <v>504.38400000000001</v>
          </cell>
        </row>
        <row r="16">
          <cell r="C16">
            <v>1590.0662193548387</v>
          </cell>
          <cell r="E16">
            <v>1672.3172387096774</v>
          </cell>
          <cell r="G16">
            <v>2228.8682967741934</v>
          </cell>
        </row>
        <row r="20">
          <cell r="C20">
            <v>366.76340180180176</v>
          </cell>
          <cell r="E20">
            <v>385.37907972972971</v>
          </cell>
          <cell r="G20">
            <v>453.02169864864862</v>
          </cell>
        </row>
        <row r="24">
          <cell r="C24">
            <v>1323.3632630049406</v>
          </cell>
          <cell r="E24">
            <v>1391.5752309212439</v>
          </cell>
          <cell r="G24">
            <v>1636.7235564080211</v>
          </cell>
        </row>
        <row r="28">
          <cell r="C28">
            <v>1323.3632630049406</v>
          </cell>
          <cell r="E28">
            <v>1391.5752309212439</v>
          </cell>
          <cell r="G28">
            <v>1636.7235564080211</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GNOSTICO"/>
      <sheetName val="CONSOLIDADO ÁREAS"/>
      <sheetName val="Hoja1"/>
    </sheetNames>
    <sheetDataSet>
      <sheetData sheetId="0">
        <row r="21">
          <cell r="C21" t="str">
            <v>POSICIONAMIENTO ESTRATÉGICO</v>
          </cell>
        </row>
      </sheetData>
      <sheetData sheetId="1" refreshError="1"/>
      <sheetData sheetId="2">
        <row r="3">
          <cell r="B3">
            <v>0</v>
          </cell>
        </row>
        <row r="4">
          <cell r="B4">
            <v>1</v>
          </cell>
        </row>
        <row r="5">
          <cell r="B5">
            <v>2</v>
          </cell>
        </row>
        <row r="6">
          <cell r="B6">
            <v>3</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s"/>
      <sheetName val="Carátula"/>
      <sheetName val="Panel"/>
      <sheetName val="Radar Actual"/>
      <sheetName val="Radar Futuro"/>
      <sheetName val="Matriz Des vs MP"/>
      <sheetName val="Situación Actual"/>
      <sheetName val="Radar Diag."/>
      <sheetName val="Nivel Metas"/>
      <sheetName val="Radar Metas"/>
      <sheetName val="Información General"/>
      <sheetName val="1. Liderazgo"/>
      <sheetName val="2. Enfoque al Cliente"/>
      <sheetName val="3. Gestión del Capital Humano"/>
      <sheetName val="4.1. Procesos "/>
      <sheetName val="4.2. Mantenimiento"/>
      <sheetName val="4.3. Gestión de Inventarios"/>
      <sheetName val="4.4. Layout y manipulación"/>
      <sheetName val="4.5. Setups- puesta a punto"/>
      <sheetName val="4.6. Programación y control"/>
      <sheetName val="5. Desempeño Financiero"/>
      <sheetName val="6.1. Capacidad de Inteligencia"/>
      <sheetName val="6.2. Desarrollo Nuevos Producto"/>
      <sheetName val="6.3 Gestión de Proyectos"/>
      <sheetName val="7.1. Gestión de la Calidad"/>
      <sheetName val="7.2. Producción más limpia"/>
      <sheetName val="8. Eficiencia Energética"/>
      <sheetName val="9. Modelo de madurez digital"/>
      <sheetName val="10. Gestión Logística"/>
      <sheetName val="11. Proveedores"/>
      <sheetName val="12. Tecnologías de Gestión"/>
      <sheetName val="Tecnologías Limpias"/>
      <sheetName val="Liderazgo"/>
      <sheetName val="11. Información"/>
      <sheetName val="12. Diálogo"/>
      <sheetName val="Formulario v2.1"/>
      <sheetName val="Formulario%20v2.1.xlsx"/>
      <sheetName val="[Formulario v2.1.xlsx]__fiduc_2"/>
      <sheetName val="[Formulario v2.1.xlsx]__fiduc_4"/>
      <sheetName val="Indicadores"/>
      <sheetName val="Formulario v2.1.xlsx"/>
      <sheetName val="[Formulario v2.1.xlsx]__fiduc_3"/>
      <sheetName val="[Formulario v2.1.xlsx]__fidu_42"/>
      <sheetName val="[Formulario v2.1.xlsx]__fidu_11"/>
      <sheetName val="[Formulario v2.1.xlsx]__fiduc_6"/>
      <sheetName val="[Formulario v2.1.xlsx]__fiduc_5"/>
      <sheetName val="[Formulario v2.1.xlsx]__fiduc_7"/>
      <sheetName val="[Formulario v2.1.xlsx]__fiduc_8"/>
      <sheetName val="[Formulario v2.1.xlsx]__fiduc_9"/>
      <sheetName val="Hoja1"/>
      <sheetName val="[Formulario v2.1.xlsx]__fidu_10"/>
      <sheetName val="[Formulario v2.1.xlsx]__fidu_18"/>
      <sheetName val="[Formulario v2.1.xlsx]__fidu_12"/>
      <sheetName val="[Formulario v2.1.xlsx]__fidu_13"/>
      <sheetName val="[Formulario v2.1.xlsx]__fidu_14"/>
      <sheetName val="[Formulario v2.1.xlsx]__fidu_15"/>
      <sheetName val="[Formulario v2.1.xlsx]__fidu_16"/>
      <sheetName val="[Formulario v2.1.xlsx]__fidu_17"/>
      <sheetName val="[Formulario v2.1.xlsx]__fidu_20"/>
      <sheetName val="[Formulario v2.1.xlsx]__fidu_19"/>
      <sheetName val="[Formulario v2.1.xlsx]__fidu_21"/>
      <sheetName val="[Formulario v2.1.xlsx]__fidu_22"/>
      <sheetName val="[Formulario v2.1.xlsx]__fidu_35"/>
      <sheetName val="[Formulario v2.1.xlsx]__fidu_25"/>
      <sheetName val="[Formulario v2.1.xlsx]__fidu_23"/>
      <sheetName val="[Formulario v2.1.xlsx]__fidu_24"/>
      <sheetName val="[Formulario v2.1.xlsx]__fidu_26"/>
      <sheetName val="[Formulario v2.1.xlsx]__fidu_27"/>
      <sheetName val="[Formulario v2.1.xlsx]__fidu_28"/>
      <sheetName val="[Formulario v2.1.xlsx]__fidu_29"/>
      <sheetName val="[Formulario v2.1.xlsx]__fidu_30"/>
      <sheetName val="[Formulario v2.1.xlsx]__fidu_31"/>
      <sheetName val="[Formulario v2.1.xlsx]__fidu_32"/>
      <sheetName val="[Formulario v2.1.xlsx]__fidu_33"/>
      <sheetName val="[Formulario v2.1.xlsx]__fidu_34"/>
      <sheetName val="[Formulario v2.1.xlsx]__fidu_36"/>
      <sheetName val="[Formulario v2.1.xlsx]__fidu_37"/>
      <sheetName val="[Formulario v2.1.xlsx]__fidu_38"/>
      <sheetName val="[Formulario v2.1.xlsx]__fidu_39"/>
      <sheetName val="[Formulario v2.1.xlsx]__fidu_40"/>
      <sheetName val="[Formulario v2.1.xlsx]__fidu_41"/>
      <sheetName val="[Formulario v2.1.xlsx]__fidu_43"/>
      <sheetName val="[Formulario v2.1.xlsx]__fidu_44"/>
      <sheetName val="[Formulario v2.1.xlsx]__fidu_45"/>
      <sheetName val="[Formulario v2.1.xlsx]__fidu_46"/>
      <sheetName val="[Formulario v2.1.xlsx]__fidu_47"/>
      <sheetName val="[Formulario v2.1.xlsx]__fidu_48"/>
      <sheetName val="[Formulario v2.1.xlsx]__fidu_51"/>
      <sheetName val="[Formulario v2.1.xlsx]__fidu_49"/>
      <sheetName val="[Formulario v2.1.xlsx]__fidu_50"/>
      <sheetName val="[Formulario v2.1.xlsx]//fiducol"/>
      <sheetName val="[Formulario v2.1.xlsx]__fidu_53"/>
      <sheetName val="[Formulario v2.1.xlsx]__fidu_52"/>
      <sheetName val="[Formulario v2.1.xlsx]__fidu_54"/>
      <sheetName val="[Formulario v2.1.xlsx]__fidu_56"/>
      <sheetName val="[Formulario v2.1.xlsx]__fidu_55"/>
      <sheetName val="[Formulario v2.1.xlsx]__fidu_58"/>
      <sheetName val="[Formulario v2.1.xlsx]__fidu_57"/>
      <sheetName val="[Formulario v2.1.xlsx]__fidu_60"/>
      <sheetName val="[Formulario v2.1.xlsx]__fidu_59"/>
      <sheetName val="Situación Futura"/>
      <sheetName val="[Formulario v2.1.xlsx]__fidu_77"/>
      <sheetName val="[Formulario v2.1.xlsx]__fidu_62"/>
      <sheetName val="[Formulario v2.1.xlsx]__fidu_61"/>
      <sheetName val="[Formulario v2.1.xlsx]__fidu_65"/>
      <sheetName val="//camaradecomerciodecali-my.sha"/>
      <sheetName val="[Formulario v2.1.xlsx]__fidu_63"/>
      <sheetName val="[Formulario v2.1.xlsx]__fidu_64"/>
      <sheetName val="[Formulario v2.1.xlsx]__fidu_68"/>
      <sheetName val="[Formulario v2.1.xlsx]__fidu_66"/>
      <sheetName val="[Formulario v2.1.xlsx]__fidu_67"/>
      <sheetName val="[Formulario v2.1.xlsx]__fidu_72"/>
      <sheetName val="[Formulario v2.1.xlsx]__fidu_69"/>
      <sheetName val="[Formulario v2.1.xlsx]__fidu_70"/>
      <sheetName val="[Formulario v2.1.xlsx]__fidu_71"/>
      <sheetName val="[Formulario v2.1.xlsx]__fidu_74"/>
      <sheetName val="[Formulario v2.1.xlsx]__fidu_73"/>
      <sheetName val="[Formulario v2.1.xlsx]__fidu_76"/>
      <sheetName val="[Formulario v2.1.xlsx]__fidu_75"/>
      <sheetName val="[Formulario v2.1.xlsx]__fidu_78"/>
      <sheetName val="[Formulario v2.1.xlsx]__fidu_80"/>
      <sheetName val="[Formulario v2.1.xlsx]__fidu_79"/>
      <sheetName val="[Formulario v2.1.xlsx]__fidu_84"/>
      <sheetName val="[Formulario v2.1.xlsx]__fidu_81"/>
      <sheetName val="[Formulario v2.1.xlsx]__fidu_82"/>
      <sheetName val="[Formulario v2.1.xlsx]__fidu_83"/>
      <sheetName val="[Formulario v2.1.xlsx]__fidu_85"/>
      <sheetName val="[Formulario v2.1.xlsx]__fidu_90"/>
      <sheetName val="[Formulario v2.1.xlsx]__fidu_86"/>
      <sheetName val="[Formulario v2.1.xlsx]__fidu_87"/>
      <sheetName val="[Formulario v2.1.xlsx]__fidu_88"/>
      <sheetName val="[Formulario v2.1.xlsx]__fidu_89"/>
      <sheetName val="[Formulario v2.1.xlsx]__fidu_92"/>
      <sheetName val="[Formulario v2.1.xlsx]__fidu_91"/>
      <sheetName val="[Formulario v2.1.xlsx]__fid_104"/>
      <sheetName val="[Formulario v2.1.xlsx]__fidu_93"/>
      <sheetName val="[Formulario v2.1.xlsx]__fidu_94"/>
      <sheetName val="[Formulario v2.1.xlsx]__fidu_95"/>
      <sheetName val="[Formulario v2.1.xlsx]__fidu_96"/>
      <sheetName val="[Formulario v2.1.xlsx]__fidu_97"/>
      <sheetName val="[Formulario v2.1.xlsx]__fidu_98"/>
      <sheetName val="[Formulario v2.1.xlsx]__fidu_99"/>
      <sheetName val="[Formulario v2.1.xlsx]__fid_100"/>
      <sheetName val="[Formulario v2.1.xlsx]__fid_101"/>
      <sheetName val="[Formulario v2.1.xlsx]__fid_102"/>
      <sheetName val="[Formulario v2.1.xlsx]__fid_103"/>
      <sheetName val="[Formulario v2.1.xlsx]__fid_105"/>
      <sheetName val="[Formulario v2.1.xlsx]__fid_106"/>
      <sheetName val="[Formulario v2.1.xlsx]__fid_107"/>
      <sheetName val="[Formulario v2.1.xlsx]__fid_108"/>
      <sheetName val="[Formulario v2.1.xlsx]__fid_109"/>
      <sheetName val="[Formulario v2.1.xlsx]__fid_110"/>
      <sheetName val="[Formulario v2.1.xlsx]__fid_111"/>
      <sheetName val="[Formulario v2.1.xlsx]__fid_112"/>
      <sheetName val="[Formulario v2.1.xlsx]__fid_113"/>
      <sheetName val="[Formulario v2.1.xlsx]__fid_114"/>
      <sheetName val="[Formulario v2.1.xlsx]__fid_115"/>
      <sheetName val="[Formulario v2.1.xlsx]__fid_120"/>
      <sheetName val="[Formulario v2.1.xlsx]__fid_116"/>
      <sheetName val="[Formulario v2.1.xlsx]__fid_117"/>
      <sheetName val="[Formulario v2.1.xlsx]__fid_118"/>
      <sheetName val="[Formulario v2.1.xlsx]__fid_119"/>
      <sheetName val="[Formulario v2.1.xlsx]__fid_121"/>
      <sheetName val="[Formulario v2.1.xlsx]__fid_125"/>
      <sheetName val="[Formulario v2.1.xlsx]__fid_122"/>
      <sheetName val="[Formulario v2.1.xlsx]__fid_123"/>
      <sheetName val="[Formulario v2.1.xlsx]__fid_124"/>
      <sheetName val="[Formulario v2.1.xlsx]__fid_127"/>
      <sheetName val="[Formulario v2.1.xlsx]__fid_126"/>
      <sheetName val="[Formulario v2.1.xlsx]__fid_128"/>
      <sheetName val="[Formulario v2.1.xlsx]__fid_129"/>
      <sheetName val="[Formulario v2.1.xlsx]__fid_130"/>
      <sheetName val="[Formulario v2.1.xlsx]__fid_133"/>
      <sheetName val="[Formulario v2.1.xlsx]__fid_132"/>
      <sheetName val="[Formulario v2.1.xlsx]__fid_131"/>
      <sheetName val="[Formulario v2.1.xlsx]__fid_13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sheetData sheetId="19" refreshError="1"/>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1.1 Plan Mejora"/>
      <sheetName val="2.1 Seguimiento"/>
      <sheetName val="3.1 Acciones"/>
      <sheetName val="3.2 Res. Económico"/>
      <sheetName val="A0. Indicadores"/>
      <sheetName val="A1"/>
      <sheetName val="A2"/>
      <sheetName val="A3"/>
      <sheetName val="A4"/>
      <sheetName val="A5"/>
      <sheetName val="Listas"/>
    </sheetNames>
    <sheetDataSet>
      <sheetData sheetId="0"/>
      <sheetData sheetId="1"/>
      <sheetData sheetId="2"/>
      <sheetData sheetId="3"/>
      <sheetData sheetId="4"/>
      <sheetData sheetId="5"/>
      <sheetData sheetId="6"/>
      <sheetData sheetId="7"/>
      <sheetData sheetId="8"/>
      <sheetData sheetId="9"/>
      <sheetData sheetId="10"/>
      <sheetData sheetId="11">
        <row r="2">
          <cell r="A2" t="str">
            <v>Estratégica</v>
          </cell>
          <cell r="C2" t="str">
            <v>Alexander Pérez</v>
          </cell>
          <cell r="E2" t="str">
            <v>Elemir Pérez</v>
          </cell>
          <cell r="G2" t="str">
            <v>P</v>
          </cell>
        </row>
        <row r="3">
          <cell r="A3" t="str">
            <v>Procesos</v>
          </cell>
          <cell r="C3" t="str">
            <v>Ana Lucía López</v>
          </cell>
          <cell r="E3" t="str">
            <v>Jenifher Ríos</v>
          </cell>
          <cell r="G3" t="str">
            <v>R</v>
          </cell>
        </row>
        <row r="4">
          <cell r="A4" t="str">
            <v>Personas</v>
          </cell>
          <cell r="C4" t="str">
            <v>Astrid  Giraldo Mejía</v>
          </cell>
          <cell r="E4" t="str">
            <v>Juliana Uribe</v>
          </cell>
          <cell r="G4" t="str">
            <v>G</v>
          </cell>
        </row>
        <row r="5">
          <cell r="A5" t="str">
            <v>Tecnología</v>
          </cell>
          <cell r="C5" t="str">
            <v>Carlos Tamayo</v>
          </cell>
          <cell r="E5" t="str">
            <v>Natalia Galeano</v>
          </cell>
          <cell r="G5" t="str">
            <v>Pr</v>
          </cell>
        </row>
        <row r="6">
          <cell r="A6" t="str">
            <v xml:space="preserve">Medición </v>
          </cell>
          <cell r="C6" t="str">
            <v>Diana gallego</v>
          </cell>
        </row>
        <row r="7">
          <cell r="A7" t="str">
            <v>Sostenibilidad</v>
          </cell>
          <cell r="C7" t="str">
            <v>Eduardo Lambraño</v>
          </cell>
        </row>
        <row r="8">
          <cell r="C8" t="str">
            <v>Fabian Camilo Díaz Millan</v>
          </cell>
        </row>
        <row r="9">
          <cell r="C9" t="str">
            <v>Héctor Muñoz</v>
          </cell>
        </row>
        <row r="10">
          <cell r="C10" t="str">
            <v>Jaime Morales</v>
          </cell>
        </row>
        <row r="11">
          <cell r="C11" t="str">
            <v>Jessica López</v>
          </cell>
        </row>
        <row r="12">
          <cell r="C12" t="str">
            <v>Jose Igelsias</v>
          </cell>
        </row>
        <row r="13">
          <cell r="C13" t="str">
            <v>Juan Carlos Buitrago Duque</v>
          </cell>
        </row>
        <row r="14">
          <cell r="C14" t="str">
            <v>Juan Tibaná Caicedo</v>
          </cell>
        </row>
        <row r="15">
          <cell r="C15" t="str">
            <v>Luz Adriana Sepúlveda</v>
          </cell>
        </row>
        <row r="16">
          <cell r="C16" t="str">
            <v>Luz Elena Osorno</v>
          </cell>
        </row>
        <row r="17">
          <cell r="C17" t="str">
            <v>Sandra Echeverri Duque</v>
          </cell>
        </row>
        <row r="18">
          <cell r="C18" t="str">
            <v>Santiago Botero</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MENSIONES"/>
      <sheetName val="DIAGNOSTICO CADENAS PRODUCT"/>
      <sheetName val="PUNTUACION"/>
      <sheetName val="Hoja1"/>
    </sheetNames>
    <sheetDataSet>
      <sheetData sheetId="0"/>
      <sheetData sheetId="1">
        <row r="46">
          <cell r="H46">
            <v>3</v>
          </cell>
        </row>
        <row r="47">
          <cell r="H47">
            <v>3</v>
          </cell>
        </row>
        <row r="48">
          <cell r="H48">
            <v>3</v>
          </cell>
        </row>
        <row r="49">
          <cell r="H49">
            <v>2</v>
          </cell>
        </row>
      </sheetData>
      <sheetData sheetId="2">
        <row r="9">
          <cell r="E9">
            <v>0.91666666666666663</v>
          </cell>
        </row>
      </sheetData>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1"/>
      <sheetName val="2"/>
      <sheetName val="3"/>
      <sheetName val="4"/>
      <sheetName val="5"/>
      <sheetName val="6"/>
      <sheetName val="7"/>
      <sheetName val="8"/>
      <sheetName val="9"/>
      <sheetName val="Situación actual"/>
      <sheetName val="Situación Futura"/>
      <sheetName val="DF"/>
      <sheetName val="Matriz"/>
      <sheetName val="1. V.Inicial- DX (Gestor)"/>
      <sheetName val="Anexo. Cotizaciones (Ext)"/>
      <sheetName val="2. Plan de Trabajo (Ext)"/>
      <sheetName val="3. Seguimiento Int. 1"/>
      <sheetName val="3.2"/>
      <sheetName val="4. Acta de Cierre (Ext)"/>
      <sheetName val="Hoja de Datos"/>
      <sheetName val="Indicadores"/>
      <sheetName val="Ejempo Mediciones"/>
      <sheetName val="Hoj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s>
    <sheetDataSet>
      <sheetData sheetId="0">
        <row r="6">
          <cell r="K6">
            <v>2006</v>
          </cell>
        </row>
        <row r="7">
          <cell r="J7" t="str">
            <v>Ref.</v>
          </cell>
          <cell r="K7" t="str">
            <v>Realiz.</v>
          </cell>
          <cell r="L7" t="str">
            <v>%</v>
          </cell>
        </row>
        <row r="9">
          <cell r="I9" t="str">
            <v>Gama</v>
          </cell>
          <cell r="J9">
            <v>2.2559999999999998</v>
          </cell>
          <cell r="K9">
            <v>2.8809999999999998</v>
          </cell>
          <cell r="L9">
            <v>1.2770390070921986</v>
          </cell>
        </row>
        <row r="10">
          <cell r="H10" t="str">
            <v>EMBUTICIÓN</v>
          </cell>
          <cell r="I10" t="str">
            <v>F.Gama</v>
          </cell>
          <cell r="J10">
            <v>2.4140000000000001</v>
          </cell>
          <cell r="K10">
            <v>2.339</v>
          </cell>
          <cell r="L10">
            <v>0.96893123446561713</v>
          </cell>
        </row>
        <row r="12">
          <cell r="I12" t="str">
            <v>Total</v>
          </cell>
          <cell r="J12">
            <v>4.67</v>
          </cell>
          <cell r="K12">
            <v>5.22</v>
          </cell>
          <cell r="L12">
            <v>1.1177730192719486</v>
          </cell>
        </row>
        <row r="14">
          <cell r="I14" t="str">
            <v>Gama</v>
          </cell>
          <cell r="J14">
            <v>9.6000000000000002E-2</v>
          </cell>
          <cell r="K14">
            <v>0.10100000000000001</v>
          </cell>
          <cell r="L14">
            <v>1.0520833333333335</v>
          </cell>
        </row>
        <row r="15">
          <cell r="H15" t="str">
            <v>PLÁSTICOS</v>
          </cell>
          <cell r="I15" t="str">
            <v>F.Gama</v>
          </cell>
          <cell r="J15">
            <v>3.5999999999999997E-2</v>
          </cell>
          <cell r="K15">
            <v>3.5999999999999997E-2</v>
          </cell>
          <cell r="L15">
            <v>1</v>
          </cell>
        </row>
        <row r="17">
          <cell r="I17" t="str">
            <v>Total</v>
          </cell>
          <cell r="J17">
            <v>0.13200000000000001</v>
          </cell>
          <cell r="K17">
            <v>0.13700000000000001</v>
          </cell>
          <cell r="L17">
            <v>1.0378787878787878</v>
          </cell>
        </row>
        <row r="19">
          <cell r="I19" t="str">
            <v>Gama</v>
          </cell>
          <cell r="J19">
            <v>16.773</v>
          </cell>
          <cell r="K19">
            <v>16.885999999999999</v>
          </cell>
          <cell r="L19">
            <v>1.0067370178262685</v>
          </cell>
        </row>
        <row r="20">
          <cell r="H20" t="str">
            <v>CHAPA</v>
          </cell>
          <cell r="I20" t="str">
            <v>F.Gama</v>
          </cell>
          <cell r="J20">
            <v>0.68100000000000005</v>
          </cell>
          <cell r="K20">
            <v>0.57799999999999996</v>
          </cell>
          <cell r="L20">
            <v>0.84875183553597633</v>
          </cell>
        </row>
        <row r="22">
          <cell r="I22" t="str">
            <v>Total</v>
          </cell>
          <cell r="J22">
            <v>17.454000000000001</v>
          </cell>
          <cell r="K22">
            <v>17.463999999999999</v>
          </cell>
          <cell r="L22">
            <v>1.0005729345708718</v>
          </cell>
        </row>
        <row r="24">
          <cell r="I24" t="str">
            <v>Gama</v>
          </cell>
          <cell r="J24">
            <v>5.0000000000000001E-3</v>
          </cell>
          <cell r="K24">
            <v>3.0000000000000001E-3</v>
          </cell>
          <cell r="L24">
            <v>0.6</v>
          </cell>
        </row>
        <row r="25">
          <cell r="H25" t="str">
            <v>SOLDADURA</v>
          </cell>
          <cell r="I25" t="str">
            <v>F.Gama</v>
          </cell>
          <cell r="J25">
            <v>0.184</v>
          </cell>
          <cell r="K25">
            <v>0.114</v>
          </cell>
          <cell r="L25">
            <v>0.61956521739130443</v>
          </cell>
        </row>
        <row r="27">
          <cell r="I27" t="str">
            <v>Total</v>
          </cell>
          <cell r="J27">
            <v>0.189</v>
          </cell>
          <cell r="K27">
            <v>0.11700000000000001</v>
          </cell>
          <cell r="L27">
            <v>0.61904761904761907</v>
          </cell>
        </row>
        <row r="29">
          <cell r="I29" t="str">
            <v>Gama</v>
          </cell>
          <cell r="J29">
            <v>1.131</v>
          </cell>
          <cell r="K29">
            <v>1.0920000000000001</v>
          </cell>
          <cell r="L29">
            <v>0.96551724137931039</v>
          </cell>
        </row>
        <row r="30">
          <cell r="H30" t="str">
            <v>CHASIS</v>
          </cell>
          <cell r="I30" t="str">
            <v>F.Gama</v>
          </cell>
          <cell r="J30">
            <v>0.22600000000000001</v>
          </cell>
          <cell r="K30">
            <v>0.21299999999999999</v>
          </cell>
          <cell r="L30">
            <v>0.9424778761061946</v>
          </cell>
        </row>
        <row r="32">
          <cell r="I32" t="str">
            <v>Total</v>
          </cell>
          <cell r="J32">
            <v>1.357</v>
          </cell>
          <cell r="K32">
            <v>1.3050000000000002</v>
          </cell>
          <cell r="L32">
            <v>0.96168017686072227</v>
          </cell>
        </row>
        <row r="34">
          <cell r="I34" t="str">
            <v>Gama</v>
          </cell>
          <cell r="J34">
            <v>3.0760000000000001</v>
          </cell>
          <cell r="K34">
            <v>2.5470000000000002</v>
          </cell>
          <cell r="L34">
            <v>0.82802340702210664</v>
          </cell>
        </row>
        <row r="35">
          <cell r="H35" t="str">
            <v>PINTURA</v>
          </cell>
          <cell r="I35" t="str">
            <v>F.Gama</v>
          </cell>
          <cell r="J35">
            <v>15.238</v>
          </cell>
          <cell r="K35">
            <v>22.48</v>
          </cell>
          <cell r="L35">
            <v>1.4752592203701274</v>
          </cell>
        </row>
        <row r="37">
          <cell r="I37" t="str">
            <v>Total</v>
          </cell>
          <cell r="J37">
            <v>18.314</v>
          </cell>
          <cell r="K37">
            <v>25.027000000000001</v>
          </cell>
          <cell r="L37">
            <v>1.3665501801900186</v>
          </cell>
        </row>
        <row r="39">
          <cell r="I39" t="str">
            <v>Gama</v>
          </cell>
          <cell r="J39">
            <v>1.2130000000000001</v>
          </cell>
          <cell r="K39">
            <v>1.167</v>
          </cell>
          <cell r="L39">
            <v>0.96207749381698271</v>
          </cell>
        </row>
        <row r="40">
          <cell r="H40" t="str">
            <v>MONTAJE</v>
          </cell>
          <cell r="I40" t="str">
            <v>F.Gama</v>
          </cell>
          <cell r="J40">
            <v>2.0939999999999999</v>
          </cell>
          <cell r="K40">
            <v>1.8580000000000001</v>
          </cell>
          <cell r="L40">
            <v>0.88729703915950342</v>
          </cell>
        </row>
        <row r="42">
          <cell r="I42" t="str">
            <v>Total</v>
          </cell>
          <cell r="J42">
            <v>3.3069999999999999</v>
          </cell>
          <cell r="K42">
            <v>3.0250000000000004</v>
          </cell>
          <cell r="L42">
            <v>0.91472633807075909</v>
          </cell>
        </row>
        <row r="45">
          <cell r="H45" t="str">
            <v>DIVERSOS</v>
          </cell>
          <cell r="I45" t="str">
            <v>F.Gama</v>
          </cell>
          <cell r="J45">
            <v>6.7610000000000001</v>
          </cell>
          <cell r="K45">
            <v>6.3710000000000004</v>
          </cell>
          <cell r="L45">
            <v>0.94231622541044224</v>
          </cell>
        </row>
        <row r="47">
          <cell r="I47" t="str">
            <v>T. Gama</v>
          </cell>
          <cell r="J47">
            <v>24.55</v>
          </cell>
          <cell r="K47">
            <v>24.677</v>
          </cell>
          <cell r="L47">
            <v>1.0051731160896129</v>
          </cell>
        </row>
        <row r="49">
          <cell r="I49" t="str">
            <v>T. F.Gama</v>
          </cell>
          <cell r="J49">
            <v>27.634000000000004</v>
          </cell>
          <cell r="K49">
            <v>33.989000000000004</v>
          </cell>
          <cell r="L49">
            <v>1.2299703264094954</v>
          </cell>
        </row>
        <row r="51">
          <cell r="I51" t="str">
            <v>TOTAL</v>
          </cell>
          <cell r="J51">
            <v>52.184000000000005</v>
          </cell>
          <cell r="K51">
            <v>58.666000000000004</v>
          </cell>
          <cell r="L51">
            <v>1.1242143185650775</v>
          </cell>
        </row>
      </sheetData>
      <sheetData sheetId="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UserGuide"/>
      <sheetName val="CashFlow"/>
      <sheetName val="CumulativeCF"/>
      <sheetName val="Payback"/>
      <sheetName val="ROI"/>
      <sheetName val="NPV"/>
      <sheetName val="Compounding"/>
      <sheetName val="CAGR"/>
      <sheetName val="IRR"/>
      <sheetName val="Breakeven"/>
      <sheetName val="Income"/>
      <sheetName val="Balance"/>
      <sheetName val="FinCashFlow"/>
      <sheetName val="Retained"/>
      <sheetName val="FSAnalysis"/>
      <sheetName val="Liquidity"/>
      <sheetName val="Activity"/>
      <sheetName val="Leverage"/>
      <sheetName val="Profitability"/>
      <sheetName val="Valuation"/>
      <sheetName val="MultiYear"/>
      <sheetName val="Growth"/>
      <sheetName val="DuPo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
      <sheetName val="19"/>
      <sheetName val="18"/>
      <sheetName val="17"/>
      <sheetName val="16"/>
      <sheetName val="15"/>
      <sheetName val="10"/>
      <sheetName val="9"/>
      <sheetName val="8"/>
      <sheetName val="7"/>
      <sheetName val="6"/>
      <sheetName val="5"/>
      <sheetName val="4"/>
      <sheetName val="3"/>
      <sheetName val="2"/>
      <sheetName val="1"/>
      <sheetName val="LISTA"/>
      <sheetName val="Información del proveedor"/>
      <sheetName val="EXPERIENCI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3">
          <cell r="A3" t="str">
            <v>Ingeniería y Gestión Administrativa Interservicios S.A.S.</v>
          </cell>
          <cell r="B3" t="str">
            <v>Carrera 50 C No. 10 Sur - 120 Interior 116</v>
          </cell>
          <cell r="C3" t="str">
            <v>Medellín / Colombia</v>
          </cell>
          <cell r="D3">
            <v>41096</v>
          </cell>
          <cell r="E3">
            <v>2699.4631530000001</v>
          </cell>
          <cell r="F3">
            <v>1865.1157189999999</v>
          </cell>
          <cell r="G3">
            <v>834.34743400000025</v>
          </cell>
          <cell r="H3">
            <v>6829.0259040000001</v>
          </cell>
          <cell r="I3">
            <v>1614.844613</v>
          </cell>
          <cell r="J3">
            <v>466.57162</v>
          </cell>
          <cell r="K3">
            <v>172</v>
          </cell>
          <cell r="L3">
            <v>1</v>
          </cell>
          <cell r="M3">
            <v>1</v>
          </cell>
          <cell r="N3">
            <v>2</v>
          </cell>
          <cell r="O3">
            <v>1</v>
          </cell>
          <cell r="P3">
            <v>3</v>
          </cell>
          <cell r="Q3">
            <v>2</v>
          </cell>
          <cell r="R3">
            <v>1</v>
          </cell>
          <cell r="S3">
            <v>1</v>
          </cell>
          <cell r="T3">
            <v>1</v>
          </cell>
          <cell r="U3" t="str">
            <v>N/A</v>
          </cell>
          <cell r="V3" t="str">
            <v>Diego León Vélez Velásquez</v>
          </cell>
          <cell r="W3" t="str">
            <v>gerencia@interservicios.com.co</v>
          </cell>
          <cell r="X3" t="str">
            <v>Catalina Trespalacios</v>
          </cell>
          <cell r="Y3" t="str">
            <v>ctrespalacios@interservicios.com.co</v>
          </cell>
          <cell r="Z3" t="str">
            <v>Elkin Castaño
Carlos A. Gómez 
Lina Rivera</v>
          </cell>
          <cell r="AA3" t="str">
            <v>ecastano@interservicios.com.co
cgomez@interservicios.com.co
lrivera@interservicios.com.co</v>
          </cell>
        </row>
        <row r="4">
          <cell r="A4" t="str">
            <v>Servicios Ambientales y Geograficos SA</v>
          </cell>
          <cell r="B4" t="str">
            <v>Cra 11B  No 40A  130</v>
          </cell>
          <cell r="C4" t="str">
            <v>Medellín / Colombia</v>
          </cell>
          <cell r="D4">
            <v>36026</v>
          </cell>
          <cell r="E4">
            <v>5758</v>
          </cell>
          <cell r="F4">
            <v>1688</v>
          </cell>
          <cell r="G4">
            <v>4070</v>
          </cell>
          <cell r="H4">
            <v>12196</v>
          </cell>
          <cell r="I4">
            <v>12405</v>
          </cell>
          <cell r="J4">
            <v>5512</v>
          </cell>
          <cell r="K4">
            <v>139</v>
          </cell>
          <cell r="L4">
            <v>0</v>
          </cell>
          <cell r="M4">
            <v>0</v>
          </cell>
          <cell r="N4">
            <v>0</v>
          </cell>
          <cell r="O4">
            <v>3</v>
          </cell>
          <cell r="P4">
            <v>104</v>
          </cell>
          <cell r="Q4">
            <v>35</v>
          </cell>
          <cell r="R4">
            <v>1</v>
          </cell>
          <cell r="S4">
            <v>0</v>
          </cell>
          <cell r="T4">
            <v>0</v>
          </cell>
          <cell r="U4" t="str">
            <v>RUC </v>
          </cell>
          <cell r="V4" t="str">
            <v>Alejandro Aguilar Amaya</v>
          </cell>
          <cell r="W4" t="str">
            <v>aaa@sag-sa.com</v>
          </cell>
          <cell r="X4" t="str">
            <v> Héctor Fabio Echeverri G.</v>
          </cell>
          <cell r="Y4" t="str">
            <v> hectorf@sag-sa.com</v>
          </cell>
          <cell r="Z4" t="str">
            <v> Rodrigo Vélez Otalvaro</v>
          </cell>
          <cell r="AA4" t="str">
            <v>rvelez@sag-sa.com </v>
          </cell>
        </row>
        <row r="5">
          <cell r="A5" t="str">
            <v>HMV Engineers of Trinidad Ltd</v>
          </cell>
          <cell r="B5" t="str">
            <v>Corner Biljah Road and Uriah Butler Highway.</v>
          </cell>
          <cell r="C5" t="str">
            <v>Chanaguas /Trinidad y tobago</v>
          </cell>
          <cell r="D5">
            <v>40165</v>
          </cell>
          <cell r="E5">
            <v>1331</v>
          </cell>
          <cell r="F5">
            <v>39</v>
          </cell>
          <cell r="G5">
            <v>1292</v>
          </cell>
          <cell r="H5">
            <v>2678</v>
          </cell>
          <cell r="I5">
            <v>0</v>
          </cell>
          <cell r="J5">
            <v>0</v>
          </cell>
          <cell r="K5">
            <v>0</v>
          </cell>
          <cell r="L5">
            <v>0</v>
          </cell>
          <cell r="M5">
            <v>0</v>
          </cell>
          <cell r="N5">
            <v>0</v>
          </cell>
          <cell r="O5">
            <v>0</v>
          </cell>
          <cell r="P5">
            <v>0</v>
          </cell>
          <cell r="Q5">
            <v>0</v>
          </cell>
          <cell r="R5">
            <v>0</v>
          </cell>
          <cell r="S5">
            <v>0</v>
          </cell>
          <cell r="T5">
            <v>0</v>
          </cell>
          <cell r="U5" t="str">
            <v>N/A</v>
          </cell>
          <cell r="V5" t="str">
            <v>Wolfgang Rafael Salas Restrepo</v>
          </cell>
          <cell r="W5" t="str">
            <v>wsalas@h-mv.com</v>
          </cell>
          <cell r="X5" t="str">
            <v>Wolfgang Rafael Salas Restrepo</v>
          </cell>
          <cell r="Y5" t="str">
            <v>wsalas@h-mv.com</v>
          </cell>
          <cell r="Z5" t="str">
            <v>Wolfgang Rafael Salas Restrepo</v>
          </cell>
          <cell r="AA5" t="str">
            <v>wsalas@h-mv.com</v>
          </cell>
        </row>
        <row r="6">
          <cell r="A6" t="str">
            <v>HMV Holding Do Brasil Ltda</v>
          </cell>
          <cell r="B6" t="str">
            <v>Rua do Carmo, 43-12 Andar</v>
          </cell>
          <cell r="C6" t="str">
            <v>Rio de Janeiro/ Brasil</v>
          </cell>
          <cell r="D6">
            <v>40716</v>
          </cell>
          <cell r="E6">
            <v>74</v>
          </cell>
          <cell r="F6">
            <v>87</v>
          </cell>
          <cell r="G6">
            <v>-13</v>
          </cell>
          <cell r="H6">
            <v>183</v>
          </cell>
          <cell r="I6">
            <v>332</v>
          </cell>
          <cell r="J6">
            <v>14</v>
          </cell>
          <cell r="K6">
            <v>0</v>
          </cell>
          <cell r="L6">
            <v>0</v>
          </cell>
          <cell r="M6">
            <v>0</v>
          </cell>
          <cell r="N6">
            <v>0</v>
          </cell>
          <cell r="O6">
            <v>0</v>
          </cell>
          <cell r="P6">
            <v>0</v>
          </cell>
          <cell r="Q6">
            <v>0</v>
          </cell>
          <cell r="R6">
            <v>0</v>
          </cell>
          <cell r="S6">
            <v>0</v>
          </cell>
          <cell r="T6">
            <v>0</v>
          </cell>
          <cell r="U6" t="str">
            <v>N/A</v>
          </cell>
          <cell r="V6" t="str">
            <v>Sandra Sanchez</v>
          </cell>
          <cell r="W6" t="str">
            <v>ssanchez@h-mv.com</v>
          </cell>
          <cell r="X6" t="str">
            <v>Sandra Sanchez</v>
          </cell>
          <cell r="Y6" t="str">
            <v>ssanchez@h-mv.com</v>
          </cell>
          <cell r="Z6" t="str">
            <v>Sandra Sanchez</v>
          </cell>
          <cell r="AA6" t="str">
            <v>ssanchez@h-mv.com</v>
          </cell>
        </row>
        <row r="7">
          <cell r="A7" t="str">
            <v>JPPA Gerenciamiento e Projetos Ltda</v>
          </cell>
          <cell r="B7" t="str">
            <v>Rua Dr. Barros Cassal 180/501</v>
          </cell>
          <cell r="C7" t="str">
            <v>Porto Alegre / Brasil</v>
          </cell>
          <cell r="D7">
            <v>34304</v>
          </cell>
          <cell r="E7">
            <v>3917</v>
          </cell>
          <cell r="F7">
            <v>2003</v>
          </cell>
          <cell r="G7">
            <v>1914</v>
          </cell>
          <cell r="H7">
            <v>12645</v>
          </cell>
          <cell r="I7">
            <v>14577</v>
          </cell>
          <cell r="J7">
            <v>0</v>
          </cell>
          <cell r="K7">
            <v>76</v>
          </cell>
          <cell r="L7">
            <v>8</v>
          </cell>
          <cell r="M7">
            <v>37</v>
          </cell>
          <cell r="N7" t="str">
            <v>-</v>
          </cell>
          <cell r="O7">
            <v>19</v>
          </cell>
          <cell r="P7">
            <v>64</v>
          </cell>
          <cell r="Q7">
            <v>12</v>
          </cell>
          <cell r="R7">
            <v>0</v>
          </cell>
          <cell r="S7">
            <v>0</v>
          </cell>
          <cell r="T7">
            <v>0</v>
          </cell>
          <cell r="U7" t="str">
            <v>N/A</v>
          </cell>
          <cell r="V7" t="str">
            <v>Decio lópez</v>
          </cell>
          <cell r="W7" t="str">
            <v>dlm@jppa.com.br</v>
          </cell>
          <cell r="X7" t="str">
            <v>Sandra Sanchez</v>
          </cell>
          <cell r="Y7" t="str">
            <v>ssanchez@h-mv.com</v>
          </cell>
          <cell r="Z7" t="str">
            <v>HAMILTON CHAGAZ PEREZ FILHO</v>
          </cell>
          <cell r="AA7" t="str">
            <v>hcp@jppa.com.br</v>
          </cell>
        </row>
        <row r="8">
          <cell r="A8" t="str">
            <v>HMV Supervisión S.A.S.</v>
          </cell>
          <cell r="B8" t="str">
            <v xml:space="preserve">Calle 70 No 7-30  piso 3 </v>
          </cell>
          <cell r="C8" t="str">
            <v>Bogotá/ Colombia</v>
          </cell>
          <cell r="D8">
            <v>41120</v>
          </cell>
          <cell r="E8">
            <v>6659</v>
          </cell>
          <cell r="F8">
            <v>1808</v>
          </cell>
          <cell r="G8">
            <v>4851</v>
          </cell>
          <cell r="H8">
            <v>3527</v>
          </cell>
          <cell r="I8">
            <v>3401</v>
          </cell>
          <cell r="J8">
            <v>0</v>
          </cell>
          <cell r="K8">
            <v>6</v>
          </cell>
          <cell r="L8">
            <v>0</v>
          </cell>
          <cell r="M8">
            <v>0</v>
          </cell>
          <cell r="N8">
            <v>0</v>
          </cell>
          <cell r="O8">
            <v>5</v>
          </cell>
          <cell r="P8">
            <v>5</v>
          </cell>
          <cell r="Q8">
            <v>1</v>
          </cell>
          <cell r="R8">
            <v>0</v>
          </cell>
          <cell r="S8">
            <v>0</v>
          </cell>
          <cell r="T8">
            <v>0</v>
          </cell>
          <cell r="U8" t="str">
            <v>N/A</v>
          </cell>
          <cell r="V8" t="str">
            <v>Oscar Jimenez Cely</v>
          </cell>
          <cell r="W8" t="str">
            <v>ojimenez@h-mv.com</v>
          </cell>
          <cell r="X8" t="str">
            <v>Oscar Jimenez Cely</v>
          </cell>
          <cell r="Y8" t="str">
            <v>ojimenez@h-mv.com</v>
          </cell>
          <cell r="Z8" t="str">
            <v>Oscar Jimenez Cely</v>
          </cell>
          <cell r="AA8" t="str">
            <v>ojimenez@h-mv.com</v>
          </cell>
        </row>
        <row r="9">
          <cell r="A9" t="str">
            <v>HMV Ingenieros Panama S.R.L</v>
          </cell>
          <cell r="B9" t="str">
            <v>Bella Vista, Jose Marti, Local No 3, Lupita 3</v>
          </cell>
          <cell r="C9" t="str">
            <v>Panama / Panamà</v>
          </cell>
          <cell r="D9">
            <v>39142</v>
          </cell>
          <cell r="E9">
            <v>44</v>
          </cell>
          <cell r="F9">
            <v>160</v>
          </cell>
          <cell r="G9">
            <v>-116</v>
          </cell>
          <cell r="H9">
            <v>0</v>
          </cell>
          <cell r="I9">
            <v>0</v>
          </cell>
          <cell r="J9">
            <v>627</v>
          </cell>
          <cell r="K9">
            <v>0</v>
          </cell>
          <cell r="L9">
            <v>0</v>
          </cell>
          <cell r="M9">
            <v>0</v>
          </cell>
          <cell r="N9">
            <v>0</v>
          </cell>
          <cell r="O9">
            <v>0</v>
          </cell>
          <cell r="P9">
            <v>0</v>
          </cell>
          <cell r="Q9">
            <v>0</v>
          </cell>
          <cell r="R9">
            <v>0</v>
          </cell>
          <cell r="S9">
            <v>0</v>
          </cell>
          <cell r="T9">
            <v>0</v>
          </cell>
          <cell r="U9" t="str">
            <v>N/A</v>
          </cell>
          <cell r="V9" t="str">
            <v>Carlos Felipe Ramirez</v>
          </cell>
          <cell r="W9" t="str">
            <v>cframirez@h-m.com</v>
          </cell>
          <cell r="X9" t="str">
            <v>Carlos Felipe Ramirez</v>
          </cell>
          <cell r="Y9" t="str">
            <v>cframirez@h-m.com</v>
          </cell>
          <cell r="Z9" t="str">
            <v>Carlos Felipe Ramirez</v>
          </cell>
          <cell r="AA9" t="str">
            <v>cframirez@h-m.com</v>
          </cell>
        </row>
        <row r="10">
          <cell r="A10" t="str">
            <v>HMV Consultoria S.A.S.</v>
          </cell>
          <cell r="B10" t="str">
            <v xml:space="preserve">Calle 70 No 7-30  piso 3 </v>
          </cell>
          <cell r="C10" t="str">
            <v>Bogotá/ Colombia</v>
          </cell>
          <cell r="D10">
            <v>41873</v>
          </cell>
          <cell r="E10">
            <v>963</v>
          </cell>
          <cell r="F10">
            <v>1</v>
          </cell>
          <cell r="G10">
            <v>962</v>
          </cell>
          <cell r="H10">
            <v>7</v>
          </cell>
          <cell r="I10">
            <v>0</v>
          </cell>
          <cell r="J10">
            <v>0</v>
          </cell>
          <cell r="K10">
            <v>7</v>
          </cell>
          <cell r="L10">
            <v>0</v>
          </cell>
          <cell r="M10">
            <v>0</v>
          </cell>
          <cell r="N10">
            <v>0</v>
          </cell>
          <cell r="O10">
            <v>0</v>
          </cell>
          <cell r="P10">
            <v>0</v>
          </cell>
          <cell r="Q10">
            <v>7</v>
          </cell>
          <cell r="R10">
            <v>0</v>
          </cell>
          <cell r="S10">
            <v>0</v>
          </cell>
          <cell r="T10">
            <v>0</v>
          </cell>
          <cell r="U10" t="str">
            <v>N/A</v>
          </cell>
          <cell r="V10" t="str">
            <v>Oscar Jimenez Cely</v>
          </cell>
          <cell r="W10" t="str">
            <v>ojimenez@h-mv.com</v>
          </cell>
          <cell r="X10" t="str">
            <v>Oscar Jimenez Cely</v>
          </cell>
          <cell r="Y10" t="str">
            <v>ojimenez@h-mv.com</v>
          </cell>
          <cell r="Z10" t="str">
            <v>Oscar Jimenez Cely</v>
          </cell>
          <cell r="AA10" t="str">
            <v>ojimenez@h-mv.com</v>
          </cell>
        </row>
        <row r="11">
          <cell r="A11" t="str">
            <v>INGEMA S.A.</v>
          </cell>
          <cell r="B11" t="str">
            <v>CARRERA 48B N° 10SUR-164</v>
          </cell>
          <cell r="C11" t="str">
            <v>Medellín / Colombia</v>
          </cell>
          <cell r="D11">
            <v>37720</v>
          </cell>
          <cell r="E11">
            <v>11685.978999999999</v>
          </cell>
          <cell r="F11">
            <v>7161.3869999999997</v>
          </cell>
          <cell r="G11">
            <v>4524.5919999999996</v>
          </cell>
          <cell r="H11">
            <v>15638.069</v>
          </cell>
          <cell r="I11">
            <v>12104.471</v>
          </cell>
          <cell r="J11">
            <v>4167.7479999999996</v>
          </cell>
          <cell r="K11">
            <v>50</v>
          </cell>
          <cell r="L11">
            <v>3</v>
          </cell>
          <cell r="M11">
            <v>1</v>
          </cell>
          <cell r="N11">
            <v>1</v>
          </cell>
          <cell r="O11">
            <v>2</v>
          </cell>
          <cell r="P11">
            <v>8</v>
          </cell>
          <cell r="Q11">
            <v>3</v>
          </cell>
          <cell r="R11">
            <v>1</v>
          </cell>
          <cell r="S11">
            <v>1</v>
          </cell>
          <cell r="T11">
            <v>1</v>
          </cell>
          <cell r="U11" t="str">
            <v>ISO 50001</v>
          </cell>
          <cell r="V11" t="str">
            <v>GIOVANNY BUILES ARANGO</v>
          </cell>
          <cell r="W11" t="str">
            <v>gabuiles@ingema-sa.com</v>
          </cell>
          <cell r="X11" t="str">
            <v>JORGE MEDINA COBALEDA</v>
          </cell>
          <cell r="Y11" t="str">
            <v>jmedina@ingema-sa.com.co</v>
          </cell>
          <cell r="Z11" t="str">
            <v>FRANCISCO ORREGO</v>
          </cell>
          <cell r="AA11" t="str">
            <v>forrego@ingema-sa.com.co</v>
          </cell>
        </row>
        <row r="12">
          <cell r="A12" t="str">
            <v>GERS S.A.</v>
          </cell>
          <cell r="B12" t="str">
            <v>Calle 3a A No.65-118</v>
          </cell>
          <cell r="C12" t="str">
            <v>Cali/Colombia</v>
          </cell>
          <cell r="D12">
            <v>29788</v>
          </cell>
          <cell r="E12">
            <v>8736.3623619999998</v>
          </cell>
          <cell r="F12">
            <v>5649.4990470000002</v>
          </cell>
          <cell r="G12">
            <v>3086.8633149999996</v>
          </cell>
          <cell r="H12">
            <v>13608.539387999999</v>
          </cell>
          <cell r="I12">
            <v>11202.640477999999</v>
          </cell>
          <cell r="J12">
            <v>13817.905016000001</v>
          </cell>
          <cell r="K12">
            <v>136</v>
          </cell>
          <cell r="L12">
            <v>3</v>
          </cell>
          <cell r="M12">
            <v>6</v>
          </cell>
          <cell r="N12">
            <v>5</v>
          </cell>
          <cell r="O12">
            <v>4</v>
          </cell>
          <cell r="P12">
            <v>4</v>
          </cell>
          <cell r="Q12">
            <v>5</v>
          </cell>
          <cell r="R12">
            <v>1</v>
          </cell>
          <cell r="S12">
            <v>1</v>
          </cell>
          <cell r="T12">
            <v>1</v>
          </cell>
          <cell r="U12" t="str">
            <v>RUC</v>
          </cell>
          <cell r="V12" t="str">
            <v>Luis Eduardo Aragón Rangel</v>
          </cell>
          <cell r="W12" t="str">
            <v>luis.aragon@gers.com.co</v>
          </cell>
          <cell r="X12" t="str">
            <v>Dagoberto Valencia</v>
          </cell>
          <cell r="Y12" t="str">
            <v>dagoberto.valencia@gers.com.co</v>
          </cell>
          <cell r="Z12" t="str">
            <v>Claudia Patricia Ortiz</v>
          </cell>
          <cell r="AA12" t="str">
            <v>claudia.ortiz@gers.com.co</v>
          </cell>
        </row>
        <row r="13">
          <cell r="A13" t="str">
            <v>Integral Ingeniería de Supervisión S.A.S.</v>
          </cell>
          <cell r="B13" t="str">
            <v>Carrera 46 #52 - 36 Piso 10</v>
          </cell>
          <cell r="C13" t="str">
            <v>Medellín/Colombia</v>
          </cell>
          <cell r="D13">
            <v>38015</v>
          </cell>
          <cell r="E13">
            <v>10446</v>
          </cell>
          <cell r="F13">
            <v>5932</v>
          </cell>
          <cell r="G13">
            <v>4514</v>
          </cell>
          <cell r="H13">
            <v>9749</v>
          </cell>
          <cell r="I13">
            <v>12500</v>
          </cell>
          <cell r="J13">
            <v>15971</v>
          </cell>
          <cell r="K13">
            <v>66</v>
          </cell>
          <cell r="L13">
            <v>0</v>
          </cell>
          <cell r="M13">
            <v>0</v>
          </cell>
          <cell r="N13">
            <v>0</v>
          </cell>
          <cell r="O13">
            <v>0</v>
          </cell>
          <cell r="P13">
            <v>0</v>
          </cell>
          <cell r="Q13">
            <v>0</v>
          </cell>
          <cell r="R13">
            <v>1</v>
          </cell>
          <cell r="S13">
            <v>1</v>
          </cell>
          <cell r="T13">
            <v>1</v>
          </cell>
          <cell r="U13" t="str">
            <v>N/A</v>
          </cell>
          <cell r="V13" t="str">
            <v>Rogelio De Jesus Sosa Barrera</v>
          </cell>
          <cell r="W13" t="str">
            <v>comercial@integral.com.co</v>
          </cell>
          <cell r="X13" t="str">
            <v>Remigio Cesar Pérez</v>
          </cell>
          <cell r="Y13" t="str">
            <v>comercial@integral.com.co</v>
          </cell>
          <cell r="Z13" t="str">
            <v>Juan Luis Cadavid Restrepo</v>
          </cell>
          <cell r="AA13" t="str">
            <v>comercial@integral.com.co</v>
          </cell>
        </row>
        <row r="14">
          <cell r="A14" t="str">
            <v>Integral Ingeniería de Consulta S.A.S.</v>
          </cell>
          <cell r="B14" t="str">
            <v>Carrera 46 #52 - 36 Piso 10</v>
          </cell>
          <cell r="C14" t="str">
            <v>Medellín/Colombia</v>
          </cell>
          <cell r="D14">
            <v>38015</v>
          </cell>
          <cell r="E14">
            <v>158514</v>
          </cell>
          <cell r="F14">
            <v>6356</v>
          </cell>
          <cell r="G14">
            <v>152158</v>
          </cell>
          <cell r="H14">
            <v>26260</v>
          </cell>
          <cell r="I14">
            <v>16362</v>
          </cell>
          <cell r="J14">
            <v>11429</v>
          </cell>
          <cell r="K14">
            <v>191</v>
          </cell>
          <cell r="L14">
            <v>1</v>
          </cell>
          <cell r="M14">
            <v>1</v>
          </cell>
          <cell r="N14">
            <v>0</v>
          </cell>
          <cell r="O14">
            <v>1</v>
          </cell>
          <cell r="P14">
            <v>0</v>
          </cell>
          <cell r="Q14">
            <v>0</v>
          </cell>
          <cell r="R14">
            <v>1</v>
          </cell>
          <cell r="S14">
            <v>1</v>
          </cell>
          <cell r="T14">
            <v>1</v>
          </cell>
          <cell r="U14" t="str">
            <v>N/A</v>
          </cell>
          <cell r="V14" t="str">
            <v>Gabriel Jaime Cano</v>
          </cell>
          <cell r="W14" t="str">
            <v>comercial@integral.com.co</v>
          </cell>
          <cell r="X14" t="str">
            <v>Remigio Cesar Pérez</v>
          </cell>
          <cell r="Y14" t="str">
            <v>comercial@integral.com.co</v>
          </cell>
          <cell r="Z14" t="str">
            <v>Juan Luis Cadavid Restrepo</v>
          </cell>
          <cell r="AA14" t="str">
            <v>comercial@integral.com.co</v>
          </cell>
        </row>
        <row r="15">
          <cell r="A15" t="str">
            <v>I-DOS S.A.S.</v>
          </cell>
          <cell r="B15" t="str">
            <v>Carrera 46 #52 - 36 Piso 10</v>
          </cell>
          <cell r="C15" t="str">
            <v>Medellín/Colombia</v>
          </cell>
          <cell r="D15">
            <v>40871</v>
          </cell>
          <cell r="E15">
            <v>7667</v>
          </cell>
          <cell r="F15">
            <v>269</v>
          </cell>
          <cell r="G15">
            <v>7398</v>
          </cell>
          <cell r="H15">
            <v>1118</v>
          </cell>
          <cell r="I15">
            <v>960</v>
          </cell>
          <cell r="J15">
            <v>960</v>
          </cell>
          <cell r="K15">
            <v>6</v>
          </cell>
          <cell r="L15">
            <v>0</v>
          </cell>
          <cell r="M15">
            <v>0</v>
          </cell>
          <cell r="N15">
            <v>1</v>
          </cell>
          <cell r="O15">
            <v>0</v>
          </cell>
          <cell r="P15">
            <v>0</v>
          </cell>
          <cell r="Q15">
            <v>0</v>
          </cell>
          <cell r="R15">
            <v>1</v>
          </cell>
          <cell r="S15">
            <v>1</v>
          </cell>
          <cell r="T15">
            <v>1</v>
          </cell>
          <cell r="U15" t="str">
            <v>N/A</v>
          </cell>
          <cell r="V15" t="str">
            <v>Clara Eugenia Escorcia</v>
          </cell>
          <cell r="W15" t="str">
            <v>comercial@integral.com.co</v>
          </cell>
          <cell r="X15" t="str">
            <v>Remigio Cesar Pérez</v>
          </cell>
          <cell r="Y15" t="str">
            <v>comercial@integral.com.co</v>
          </cell>
          <cell r="Z15" t="str">
            <v>Juan Luis Cadavid Restrepo</v>
          </cell>
          <cell r="AA15" t="str">
            <v>comercial@integral.com.co</v>
          </cell>
        </row>
        <row r="16">
          <cell r="A16" t="str">
            <v>Integral Diseños e Interventoría S.A.S.</v>
          </cell>
          <cell r="B16" t="str">
            <v>Carrera 46 #52 - 36 Piso 11</v>
          </cell>
          <cell r="C16" t="str">
            <v>Medellín/Colombia</v>
          </cell>
          <cell r="D16">
            <v>41764</v>
          </cell>
          <cell r="E16">
            <v>2.5299999999999998</v>
          </cell>
          <cell r="F16">
            <v>4.3451999999999998E-2</v>
          </cell>
          <cell r="G16">
            <v>2.486548</v>
          </cell>
          <cell r="H16">
            <v>0.08</v>
          </cell>
          <cell r="I16">
            <v>0</v>
          </cell>
          <cell r="J16">
            <v>0</v>
          </cell>
          <cell r="K16">
            <v>1</v>
          </cell>
          <cell r="L16">
            <v>0</v>
          </cell>
          <cell r="M16">
            <v>0</v>
          </cell>
          <cell r="N16">
            <v>0</v>
          </cell>
          <cell r="O16">
            <v>0</v>
          </cell>
          <cell r="P16">
            <v>0</v>
          </cell>
          <cell r="Q16">
            <v>0</v>
          </cell>
          <cell r="R16">
            <v>1</v>
          </cell>
          <cell r="S16">
            <v>1</v>
          </cell>
          <cell r="T16">
            <v>1</v>
          </cell>
          <cell r="U16" t="str">
            <v>N/A</v>
          </cell>
          <cell r="V16" t="str">
            <v>Carlos Andrés Laino</v>
          </cell>
          <cell r="W16" t="str">
            <v>comercial@integral.com.co</v>
          </cell>
          <cell r="X16" t="str">
            <v>Remigio Cesar Pérez</v>
          </cell>
          <cell r="Y16" t="str">
            <v>comercial@integral.com.co</v>
          </cell>
          <cell r="Z16" t="str">
            <v>Juan Luis Cadavid Restrepo</v>
          </cell>
          <cell r="AA16" t="str">
            <v>comercial@integral.com.co</v>
          </cell>
        </row>
        <row r="17">
          <cell r="A17" t="str">
            <v>Integral S.A.</v>
          </cell>
          <cell r="B17" t="str">
            <v>Carrera 46 #52 - 36 Piso 11</v>
          </cell>
          <cell r="C17" t="str">
            <v>Medellín/Colombia</v>
          </cell>
          <cell r="D17">
            <v>20303</v>
          </cell>
          <cell r="E17">
            <v>232498</v>
          </cell>
          <cell r="F17">
            <v>40913</v>
          </cell>
          <cell r="G17">
            <v>191585</v>
          </cell>
          <cell r="H17">
            <v>103283</v>
          </cell>
          <cell r="I17">
            <v>89377</v>
          </cell>
          <cell r="J17">
            <v>87213</v>
          </cell>
          <cell r="K17">
            <v>962</v>
          </cell>
          <cell r="L17">
            <v>3</v>
          </cell>
          <cell r="M17">
            <v>0</v>
          </cell>
          <cell r="N17">
            <v>0</v>
          </cell>
          <cell r="O17">
            <v>4</v>
          </cell>
          <cell r="P17">
            <v>0</v>
          </cell>
          <cell r="Q17">
            <v>2</v>
          </cell>
          <cell r="R17">
            <v>1</v>
          </cell>
          <cell r="S17">
            <v>1</v>
          </cell>
          <cell r="T17">
            <v>1</v>
          </cell>
          <cell r="U17" t="str">
            <v>N/A</v>
          </cell>
          <cell r="V17" t="str">
            <v>Jairo Hoyos Gómez</v>
          </cell>
          <cell r="W17" t="str">
            <v>comercial@integral.com.co</v>
          </cell>
          <cell r="X17" t="str">
            <v>Remigio Cesar Pérez</v>
          </cell>
          <cell r="Y17" t="str">
            <v>comercial@integral.com.co</v>
          </cell>
          <cell r="Z17" t="str">
            <v>Juan Luis Cadavid Restrepo</v>
          </cell>
          <cell r="AA17" t="str">
            <v>comercial@integral.com.co</v>
          </cell>
        </row>
        <row r="18">
          <cell r="A18" t="str">
            <v>INGENIERÍA ESPECIALIZADA S.A.</v>
          </cell>
          <cell r="B18" t="str">
            <v>CALLE 8B Nº 65-191 OFICINA 331</v>
          </cell>
          <cell r="C18" t="str">
            <v>MEDELLIN / COLOMBIA</v>
          </cell>
          <cell r="D18">
            <v>32638</v>
          </cell>
          <cell r="E18">
            <v>3917</v>
          </cell>
          <cell r="F18">
            <v>6659</v>
          </cell>
          <cell r="G18">
            <v>-2742</v>
          </cell>
          <cell r="H18">
            <v>963</v>
          </cell>
          <cell r="I18">
            <v>11685.978999999999</v>
          </cell>
          <cell r="J18">
            <v>11685.978999999999</v>
          </cell>
          <cell r="K18">
            <v>310</v>
          </cell>
          <cell r="L18">
            <v>136</v>
          </cell>
          <cell r="M18" t="str">
            <v>N/A</v>
          </cell>
          <cell r="N18" t="str">
            <v>N/A</v>
          </cell>
          <cell r="O18">
            <v>33</v>
          </cell>
          <cell r="P18">
            <v>207</v>
          </cell>
          <cell r="Q18">
            <v>62</v>
          </cell>
          <cell r="R18">
            <v>0</v>
          </cell>
          <cell r="S18">
            <v>0</v>
          </cell>
          <cell r="T18">
            <v>0</v>
          </cell>
          <cell r="U18" t="str">
            <v>N/A</v>
          </cell>
          <cell r="V18" t="str">
            <v>JAIME ALBERTO BLANDÓN DÍAZ</v>
          </cell>
          <cell r="W18" t="str">
            <v>jaime.blandon@ieb.com.co</v>
          </cell>
          <cell r="X18" t="str">
            <v>MAURICIO DE JESUS MEDINA RESTREPO</v>
          </cell>
          <cell r="Y18" t="str">
            <v>mauricio.medina@ieb.com.co</v>
          </cell>
          <cell r="Z18" t="str">
            <v>JOSE DARIEL ARCILA ARIAS</v>
          </cell>
          <cell r="AA18" t="str">
            <v>jose.arcila@ieb.com.co</v>
          </cell>
        </row>
        <row r="19">
          <cell r="A19" t="str">
            <v>WSP COLOMBIA SAS</v>
          </cell>
          <cell r="B19" t="str">
            <v>AUT. NORTE 102 - 10 PISO 6</v>
          </cell>
          <cell r="C19" t="str">
            <v>BOGOTA / COLOMBIA</v>
          </cell>
          <cell r="D19">
            <v>28125</v>
          </cell>
          <cell r="E19">
            <v>37161.737474000001</v>
          </cell>
          <cell r="F19">
            <v>19044.192335</v>
          </cell>
          <cell r="G19">
            <v>18117.545139000002</v>
          </cell>
          <cell r="H19">
            <v>51568.753594000002</v>
          </cell>
          <cell r="I19">
            <v>46133.996424999998</v>
          </cell>
          <cell r="J19">
            <v>31060.634692</v>
          </cell>
          <cell r="K19">
            <v>900</v>
          </cell>
          <cell r="L19">
            <v>3</v>
          </cell>
          <cell r="M19">
            <v>4</v>
          </cell>
          <cell r="N19">
            <v>1</v>
          </cell>
          <cell r="O19">
            <v>3</v>
          </cell>
          <cell r="P19">
            <v>4</v>
          </cell>
          <cell r="Q19">
            <v>14</v>
          </cell>
          <cell r="R19">
            <v>1</v>
          </cell>
          <cell r="S19">
            <v>1</v>
          </cell>
          <cell r="T19">
            <v>1</v>
          </cell>
          <cell r="U19" t="str">
            <v>N/A</v>
          </cell>
          <cell r="V19" t="str">
            <v>MIGUEL ARCHILA GUIO</v>
          </cell>
          <cell r="W19" t="str">
            <v>miguel.archila@wspgroup.com</v>
          </cell>
          <cell r="X19" t="str">
            <v>ORLANDO MELO</v>
          </cell>
          <cell r="Y19" t="str">
            <v>orlando.melo@wspgroup.com</v>
          </cell>
          <cell r="Z19" t="str">
            <v>LEONARDO TRIANA</v>
          </cell>
          <cell r="AA19" t="str">
            <v>leonardo.triana@wspgroup.com</v>
          </cell>
        </row>
        <row r="20">
          <cell r="A20" t="str">
            <v>PARSONS BRINKERHOFF COLOMBIA SAS</v>
          </cell>
          <cell r="B20" t="str">
            <v>AK 19 No. 135-30</v>
          </cell>
          <cell r="C20" t="str">
            <v>BOGOTA / COLOMBIA</v>
          </cell>
          <cell r="D20">
            <v>26568</v>
          </cell>
          <cell r="E20">
            <v>38193.075405000003</v>
          </cell>
          <cell r="F20">
            <v>21649.053548</v>
          </cell>
          <cell r="G20">
            <v>16544.021857000003</v>
          </cell>
          <cell r="H20">
            <v>28693.640326000001</v>
          </cell>
          <cell r="I20">
            <v>36213.022396</v>
          </cell>
          <cell r="J20">
            <v>0</v>
          </cell>
          <cell r="K20">
            <v>330</v>
          </cell>
          <cell r="L20" t="str">
            <v>Sin Información</v>
          </cell>
          <cell r="M20" t="str">
            <v>Sin Información</v>
          </cell>
          <cell r="N20" t="str">
            <v>Sin Información</v>
          </cell>
          <cell r="O20" t="str">
            <v>Sin Información</v>
          </cell>
          <cell r="P20" t="str">
            <v>Sin Información</v>
          </cell>
          <cell r="Q20" t="str">
            <v>Sin Información</v>
          </cell>
          <cell r="R20" t="str">
            <v>Sin Información</v>
          </cell>
          <cell r="S20" t="str">
            <v>Sin Información</v>
          </cell>
          <cell r="T20" t="str">
            <v>Sin Información</v>
          </cell>
          <cell r="U20" t="str">
            <v>N/A</v>
          </cell>
          <cell r="V20" t="str">
            <v>LUIS EDUARDO QUINTERO CUELLAR</v>
          </cell>
          <cell r="W20" t="str">
            <v>luis.quintero@wspgroup.com</v>
          </cell>
          <cell r="X20" t="str">
            <v>LUIS EDUARDO QUINTERO CUELLAR</v>
          </cell>
          <cell r="Y20" t="str">
            <v>luis.quintero@wspgroup.com</v>
          </cell>
          <cell r="Z20" t="str">
            <v>LUIS EDUARDO QUINTERO CUELLAR</v>
          </cell>
          <cell r="AA20" t="str">
            <v>luis.quintero@wspgroup.com</v>
          </cell>
        </row>
        <row r="21">
          <cell r="A21" t="str">
            <v>WSP SERVICIOS SAS</v>
          </cell>
          <cell r="B21" t="str">
            <v>AUT. NORTE 102 - 10 PISO 6</v>
          </cell>
          <cell r="C21" t="str">
            <v>BOGOTA / COLOMBIA</v>
          </cell>
          <cell r="D21">
            <v>41695</v>
          </cell>
          <cell r="E21">
            <v>1593.8970919999999</v>
          </cell>
          <cell r="F21">
            <v>721.24139200000002</v>
          </cell>
          <cell r="G21">
            <v>872.65569999999991</v>
          </cell>
          <cell r="H21">
            <v>1920.1082570000001</v>
          </cell>
          <cell r="I21">
            <v>2497.960775</v>
          </cell>
          <cell r="J21">
            <v>0</v>
          </cell>
          <cell r="K21">
            <v>9</v>
          </cell>
          <cell r="L21" t="str">
            <v>Sin Información</v>
          </cell>
          <cell r="M21" t="str">
            <v>Sin Información</v>
          </cell>
          <cell r="N21" t="str">
            <v>Sin Información</v>
          </cell>
          <cell r="O21" t="str">
            <v>Sin Información</v>
          </cell>
          <cell r="P21" t="str">
            <v>Sin Información</v>
          </cell>
          <cell r="Q21" t="str">
            <v>Sin Información</v>
          </cell>
          <cell r="R21" t="str">
            <v>Sin Información</v>
          </cell>
          <cell r="S21" t="str">
            <v>Sin Información</v>
          </cell>
          <cell r="T21" t="str">
            <v>Sin Información</v>
          </cell>
          <cell r="U21" t="str">
            <v>N/A</v>
          </cell>
          <cell r="V21" t="str">
            <v>JORGE CELIS</v>
          </cell>
          <cell r="W21" t="str">
            <v>jorge.celis@wspgroup.com</v>
          </cell>
          <cell r="X21" t="str">
            <v>ORLANDO MELO</v>
          </cell>
          <cell r="Y21" t="str">
            <v>orlando.melo@wspgroup.com</v>
          </cell>
          <cell r="Z21">
            <v>0</v>
          </cell>
          <cell r="AA21">
            <v>0</v>
          </cell>
        </row>
        <row r="22">
          <cell r="A22" t="str">
            <v>TECNOAMBIENTAL</v>
          </cell>
          <cell r="B22" t="str">
            <v>TV 27 N.39E - 24</v>
          </cell>
          <cell r="C22" t="str">
            <v>VILLAVICENCIO / COLOMBIA</v>
          </cell>
          <cell r="D22">
            <v>35808</v>
          </cell>
          <cell r="E22">
            <v>1424.776885</v>
          </cell>
          <cell r="F22">
            <v>455.79162200000002</v>
          </cell>
          <cell r="G22">
            <v>968.98526300000003</v>
          </cell>
          <cell r="H22">
            <v>1565.77639</v>
          </cell>
          <cell r="I22">
            <v>1842.629539</v>
          </cell>
          <cell r="J22">
            <v>1119.83825</v>
          </cell>
          <cell r="K22">
            <v>26</v>
          </cell>
          <cell r="L22" t="str">
            <v>Sin Información</v>
          </cell>
          <cell r="M22" t="str">
            <v>Sin Información</v>
          </cell>
          <cell r="N22" t="str">
            <v>Sin Información</v>
          </cell>
          <cell r="O22" t="str">
            <v>Sin Información</v>
          </cell>
          <cell r="P22" t="str">
            <v>Sin Información</v>
          </cell>
          <cell r="Q22" t="str">
            <v>Sin Información</v>
          </cell>
          <cell r="R22" t="str">
            <v>Sin Información</v>
          </cell>
          <cell r="S22" t="str">
            <v>Sin Información</v>
          </cell>
          <cell r="T22" t="str">
            <v>Sin Información</v>
          </cell>
          <cell r="U22" t="str">
            <v>N/A</v>
          </cell>
          <cell r="V22" t="str">
            <v>MIGUEL ARCHILA GUIO</v>
          </cell>
          <cell r="W22" t="str">
            <v>miguel.archila@wspgroup.com</v>
          </cell>
          <cell r="X22" t="str">
            <v>ORLANDO MELO</v>
          </cell>
          <cell r="Y22" t="str">
            <v>orlando.melo@wspgroup.com</v>
          </cell>
          <cell r="Z22" t="str">
            <v>NICOLAS CASTAÑO</v>
          </cell>
          <cell r="AA22" t="str">
            <v>nicolas.castaño@wspgroup.com</v>
          </cell>
        </row>
        <row r="28">
          <cell r="A28" t="str">
            <v>Ingeniería y Gestión Administrativa Interservicios S.A.S.</v>
          </cell>
          <cell r="B28">
            <v>2699.4631530000001</v>
          </cell>
          <cell r="C28">
            <v>1865.1157189999999</v>
          </cell>
          <cell r="D28">
            <v>834.34743400000025</v>
          </cell>
          <cell r="E28">
            <v>0.69092097698286303</v>
          </cell>
          <cell r="F28">
            <v>466.57162</v>
          </cell>
          <cell r="G28">
            <v>1614.844613</v>
          </cell>
          <cell r="H28">
            <v>6829.0259040000001</v>
          </cell>
          <cell r="I28">
            <v>2.461086237949921</v>
          </cell>
          <cell r="J28">
            <v>3.2289058953562613</v>
          </cell>
          <cell r="K28">
            <v>2.8449960666530911</v>
          </cell>
        </row>
        <row r="29">
          <cell r="A29" t="str">
            <v>Servicios Ambientales y Geograficos SA</v>
          </cell>
          <cell r="B29">
            <v>5758</v>
          </cell>
          <cell r="C29">
            <v>1688</v>
          </cell>
          <cell r="D29">
            <v>4070</v>
          </cell>
          <cell r="E29">
            <v>0.29315734630079887</v>
          </cell>
          <cell r="F29">
            <v>5512</v>
          </cell>
          <cell r="G29">
            <v>12405</v>
          </cell>
          <cell r="H29">
            <v>12196</v>
          </cell>
          <cell r="I29">
            <v>1.250544267053701</v>
          </cell>
          <cell r="J29">
            <v>-1.6848045143087464E-2</v>
          </cell>
          <cell r="K29">
            <v>0.61684811095530678</v>
          </cell>
        </row>
        <row r="30">
          <cell r="A30" t="str">
            <v>HMV Engineers of Trinidad Ltd</v>
          </cell>
          <cell r="B30">
            <v>1331</v>
          </cell>
          <cell r="C30">
            <v>39</v>
          </cell>
          <cell r="D30">
            <v>1292</v>
          </cell>
          <cell r="E30">
            <v>2.9301277235161533E-2</v>
          </cell>
          <cell r="F30">
            <v>0</v>
          </cell>
          <cell r="G30">
            <v>0</v>
          </cell>
          <cell r="H30">
            <v>2678</v>
          </cell>
          <cell r="I30" t="str">
            <v>SIN CALCULAR</v>
          </cell>
          <cell r="J30" t="str">
            <v>SIN CALCULAR</v>
          </cell>
          <cell r="K30" t="str">
            <v>SIN CALCULAR</v>
          </cell>
        </row>
        <row r="31">
          <cell r="A31" t="str">
            <v>HMV Holding Do Brasil Ltda</v>
          </cell>
          <cell r="B31">
            <v>74</v>
          </cell>
          <cell r="C31">
            <v>87</v>
          </cell>
          <cell r="D31">
            <v>-13</v>
          </cell>
          <cell r="E31">
            <v>1.1756756756756757</v>
          </cell>
          <cell r="F31">
            <v>14</v>
          </cell>
          <cell r="G31">
            <v>332</v>
          </cell>
          <cell r="H31">
            <v>183</v>
          </cell>
          <cell r="I31">
            <v>22.714285714285715</v>
          </cell>
          <cell r="J31">
            <v>-0.44879518072289154</v>
          </cell>
          <cell r="K31">
            <v>11.132745266781411</v>
          </cell>
        </row>
        <row r="32">
          <cell r="A32" t="str">
            <v>JPPA Gerenciamiento e Projetos Ltda</v>
          </cell>
          <cell r="B32">
            <v>3917</v>
          </cell>
          <cell r="C32">
            <v>2003</v>
          </cell>
          <cell r="D32">
            <v>1914</v>
          </cell>
          <cell r="E32">
            <v>0.51136073525657388</v>
          </cell>
          <cell r="F32">
            <v>0</v>
          </cell>
          <cell r="G32">
            <v>14577</v>
          </cell>
          <cell r="H32">
            <v>12645</v>
          </cell>
          <cell r="I32" t="str">
            <v>SIN CALCULAR</v>
          </cell>
          <cell r="J32">
            <v>-0.1325375591685532</v>
          </cell>
          <cell r="K32">
            <v>-0.1325375591685532</v>
          </cell>
        </row>
        <row r="33">
          <cell r="A33" t="str">
            <v>HMV Supervisión S.A.S.</v>
          </cell>
          <cell r="B33">
            <v>6659</v>
          </cell>
          <cell r="C33">
            <v>1808</v>
          </cell>
          <cell r="D33">
            <v>4851</v>
          </cell>
          <cell r="E33">
            <v>0.27151223907493616</v>
          </cell>
          <cell r="F33">
            <v>0</v>
          </cell>
          <cell r="G33">
            <v>3401</v>
          </cell>
          <cell r="H33">
            <v>3527</v>
          </cell>
          <cell r="I33" t="str">
            <v>SIN CALCULAR</v>
          </cell>
          <cell r="J33">
            <v>3.7047927080270507E-2</v>
          </cell>
          <cell r="K33">
            <v>3.7047927080270507E-2</v>
          </cell>
        </row>
        <row r="34">
          <cell r="A34" t="str">
            <v>HMV Ingenieros Panama S.R.L</v>
          </cell>
          <cell r="B34">
            <v>44</v>
          </cell>
          <cell r="C34">
            <v>160</v>
          </cell>
          <cell r="D34">
            <v>-116</v>
          </cell>
          <cell r="E34">
            <v>3.6363636363636362</v>
          </cell>
          <cell r="F34">
            <v>627</v>
          </cell>
          <cell r="G34">
            <v>0</v>
          </cell>
          <cell r="H34">
            <v>0</v>
          </cell>
          <cell r="I34">
            <v>-1</v>
          </cell>
          <cell r="J34" t="str">
            <v>SIN CALCULAR</v>
          </cell>
          <cell r="K34">
            <v>-1</v>
          </cell>
        </row>
        <row r="35">
          <cell r="A35" t="str">
            <v>HMV Consultoria S.A.S.</v>
          </cell>
          <cell r="B35">
            <v>963</v>
          </cell>
          <cell r="C35">
            <v>1</v>
          </cell>
          <cell r="D35">
            <v>962</v>
          </cell>
          <cell r="E35">
            <v>1.0384215991692627E-3</v>
          </cell>
          <cell r="F35">
            <v>0</v>
          </cell>
          <cell r="G35">
            <v>0</v>
          </cell>
          <cell r="H35">
            <v>7</v>
          </cell>
          <cell r="I35" t="str">
            <v>SIN CALCULAR</v>
          </cell>
          <cell r="J35" t="str">
            <v>SIN CALCULAR</v>
          </cell>
          <cell r="K35" t="str">
            <v>SIN CALCULAR</v>
          </cell>
        </row>
        <row r="36">
          <cell r="A36" t="str">
            <v>INGEMA S.A.</v>
          </cell>
          <cell r="B36">
            <v>11685.978999999999</v>
          </cell>
          <cell r="C36">
            <v>7161.3869999999997</v>
          </cell>
          <cell r="D36">
            <v>4524.5919999999996</v>
          </cell>
          <cell r="E36">
            <v>0.6128187462941701</v>
          </cell>
          <cell r="F36">
            <v>4167.7479999999996</v>
          </cell>
          <cell r="G36">
            <v>12104.471</v>
          </cell>
          <cell r="H36">
            <v>15638.069</v>
          </cell>
          <cell r="I36">
            <v>1.9043193110523959</v>
          </cell>
          <cell r="J36">
            <v>0.29192502505892243</v>
          </cell>
          <cell r="K36">
            <v>1.0981221680556592</v>
          </cell>
        </row>
        <row r="37">
          <cell r="A37" t="str">
            <v>GERS S.A.</v>
          </cell>
          <cell r="B37">
            <v>8736.3623619999998</v>
          </cell>
          <cell r="C37">
            <v>5649.4990470000002</v>
          </cell>
          <cell r="D37">
            <v>3086.8633149999996</v>
          </cell>
          <cell r="E37">
            <v>0.6466649176061271</v>
          </cell>
          <cell r="F37">
            <v>13817.905016000001</v>
          </cell>
          <cell r="G37">
            <v>11202.640477999999</v>
          </cell>
          <cell r="H37">
            <v>13608.539387999999</v>
          </cell>
          <cell r="I37">
            <v>-0.18926635658384824</v>
          </cell>
          <cell r="J37">
            <v>0.21476177109537337</v>
          </cell>
          <cell r="K37">
            <v>1.2747707255762561E-2</v>
          </cell>
        </row>
        <row r="38">
          <cell r="A38" t="str">
            <v>Integral Ingeniería de Supervisión S.A.S.</v>
          </cell>
          <cell r="B38">
            <v>10446</v>
          </cell>
          <cell r="C38">
            <v>5932</v>
          </cell>
          <cell r="D38">
            <v>4514</v>
          </cell>
          <cell r="E38">
            <v>0.56787286999808539</v>
          </cell>
          <cell r="F38">
            <v>15971</v>
          </cell>
          <cell r="G38">
            <v>12500</v>
          </cell>
          <cell r="H38">
            <v>9749</v>
          </cell>
          <cell r="I38">
            <v>-0.21733141318640034</v>
          </cell>
          <cell r="J38">
            <v>-0.22008</v>
          </cell>
          <cell r="K38">
            <v>-0.21870570659320016</v>
          </cell>
        </row>
        <row r="39">
          <cell r="A39" t="str">
            <v>Integral Ingeniería de Consulta S.A.S.</v>
          </cell>
          <cell r="B39">
            <v>158514</v>
          </cell>
          <cell r="C39">
            <v>6356</v>
          </cell>
          <cell r="D39">
            <v>152158</v>
          </cell>
          <cell r="E39">
            <v>4.0097404645646442E-2</v>
          </cell>
          <cell r="F39">
            <v>11429</v>
          </cell>
          <cell r="G39">
            <v>16362</v>
          </cell>
          <cell r="H39">
            <v>26260</v>
          </cell>
          <cell r="I39">
            <v>0.43162131420071748</v>
          </cell>
          <cell r="J39">
            <v>0.60493827160493829</v>
          </cell>
          <cell r="K39">
            <v>0.51827979290282788</v>
          </cell>
        </row>
        <row r="40">
          <cell r="A40" t="str">
            <v>I-DOS S.A.S.</v>
          </cell>
          <cell r="B40">
            <v>7667</v>
          </cell>
          <cell r="C40">
            <v>269</v>
          </cell>
          <cell r="D40">
            <v>7398</v>
          </cell>
          <cell r="E40">
            <v>3.5085431068214427E-2</v>
          </cell>
          <cell r="F40">
            <v>960</v>
          </cell>
          <cell r="G40">
            <v>960</v>
          </cell>
          <cell r="H40">
            <v>1118</v>
          </cell>
          <cell r="I40">
            <v>0</v>
          </cell>
          <cell r="J40">
            <v>0.16458333333333333</v>
          </cell>
          <cell r="K40">
            <v>8.2291666666666666E-2</v>
          </cell>
        </row>
        <row r="41">
          <cell r="A41" t="str">
            <v>Integral Diseños e Interventoría S.A.S.</v>
          </cell>
          <cell r="B41">
            <v>2.5299999999999998</v>
          </cell>
          <cell r="C41">
            <v>4.3451999999999998E-2</v>
          </cell>
          <cell r="D41">
            <v>2.486548</v>
          </cell>
          <cell r="E41">
            <v>1.7174703557312255E-2</v>
          </cell>
          <cell r="F41">
            <v>0</v>
          </cell>
          <cell r="G41">
            <v>0</v>
          </cell>
          <cell r="H41">
            <v>0.08</v>
          </cell>
          <cell r="I41" t="str">
            <v>SIN CALCULAR</v>
          </cell>
          <cell r="J41" t="str">
            <v>SIN CALCULAR</v>
          </cell>
          <cell r="K41" t="str">
            <v>SIN CALCULAR</v>
          </cell>
        </row>
        <row r="42">
          <cell r="A42" t="str">
            <v>Integral S.A.</v>
          </cell>
          <cell r="B42">
            <v>232498</v>
          </cell>
          <cell r="C42">
            <v>40913</v>
          </cell>
          <cell r="D42">
            <v>191585</v>
          </cell>
          <cell r="E42">
            <v>0.17597140620564478</v>
          </cell>
          <cell r="F42">
            <v>87213</v>
          </cell>
          <cell r="G42">
            <v>89377</v>
          </cell>
          <cell r="H42">
            <v>103283</v>
          </cell>
          <cell r="I42">
            <v>2.4812814603327484E-2</v>
          </cell>
          <cell r="J42">
            <v>0.15558812669926267</v>
          </cell>
          <cell r="K42">
            <v>9.0200470651295078E-2</v>
          </cell>
        </row>
        <row r="43">
          <cell r="A43" t="str">
            <v>INGENIERÍA ESPECIALIZADA S.A.</v>
          </cell>
          <cell r="B43">
            <v>3917</v>
          </cell>
          <cell r="C43">
            <v>6659</v>
          </cell>
          <cell r="D43">
            <v>-2742</v>
          </cell>
          <cell r="E43">
            <v>1.7000255297421496</v>
          </cell>
          <cell r="F43">
            <v>11685.978999999999</v>
          </cell>
          <cell r="G43">
            <v>11685.978999999999</v>
          </cell>
          <cell r="H43">
            <v>963</v>
          </cell>
          <cell r="I43">
            <v>0</v>
          </cell>
          <cell r="J43">
            <v>-0.91759355377927687</v>
          </cell>
          <cell r="K43">
            <v>-0.45879677688963844</v>
          </cell>
        </row>
        <row r="44">
          <cell r="A44" t="str">
            <v>WSP COLOMBIA SAS</v>
          </cell>
          <cell r="B44">
            <v>37161.737474000001</v>
          </cell>
          <cell r="C44">
            <v>19044.192335</v>
          </cell>
          <cell r="D44">
            <v>18117.545139000002</v>
          </cell>
          <cell r="E44">
            <v>0.51246775930011779</v>
          </cell>
          <cell r="F44">
            <v>31060.634692</v>
          </cell>
          <cell r="G44">
            <v>46133.996424999998</v>
          </cell>
          <cell r="H44">
            <v>51568.753594000002</v>
          </cell>
          <cell r="I44">
            <v>0.4852882718743125</v>
          </cell>
          <cell r="J44">
            <v>0.11780373672667367</v>
          </cell>
          <cell r="K44">
            <v>0.30154600430049311</v>
          </cell>
        </row>
        <row r="45">
          <cell r="A45" t="str">
            <v>PARSONS BRINKERHOFF COLOMBIA SAS</v>
          </cell>
          <cell r="B45">
            <v>38193.075405000003</v>
          </cell>
          <cell r="C45">
            <v>21649.053548</v>
          </cell>
          <cell r="D45">
            <v>16544.021857000003</v>
          </cell>
          <cell r="E45">
            <v>0.56683190129187233</v>
          </cell>
          <cell r="F45">
            <v>0</v>
          </cell>
          <cell r="G45">
            <v>36213.022396</v>
          </cell>
          <cell r="H45">
            <v>28693.640326000001</v>
          </cell>
          <cell r="I45" t="str">
            <v>SIN CALCULAR</v>
          </cell>
          <cell r="J45">
            <v>-0.20764304033431277</v>
          </cell>
          <cell r="K45">
            <v>-0.20764304033431277</v>
          </cell>
        </row>
        <row r="46">
          <cell r="A46" t="str">
            <v>WSP SERVICIOS SAS</v>
          </cell>
          <cell r="B46">
            <v>1593.8970919999999</v>
          </cell>
          <cell r="C46">
            <v>721.24139200000002</v>
          </cell>
          <cell r="D46">
            <v>872.65569999999991</v>
          </cell>
          <cell r="E46">
            <v>0.4525018557471589</v>
          </cell>
          <cell r="F46">
            <v>0</v>
          </cell>
          <cell r="G46">
            <v>2497.960775</v>
          </cell>
          <cell r="H46">
            <v>1920.1082570000001</v>
          </cell>
          <cell r="I46" t="str">
            <v>SIN CALCULAR</v>
          </cell>
          <cell r="J46">
            <v>-0.23132970052341992</v>
          </cell>
          <cell r="K46">
            <v>-0.23132970052341992</v>
          </cell>
        </row>
        <row r="47">
          <cell r="A47" t="str">
            <v>TECNOAMBIENTAL</v>
          </cell>
          <cell r="B47">
            <v>1424.776885</v>
          </cell>
          <cell r="C47">
            <v>455.79162200000002</v>
          </cell>
          <cell r="D47">
            <v>968.98526300000003</v>
          </cell>
          <cell r="E47">
            <v>0.31990385778893377</v>
          </cell>
          <cell r="F47">
            <v>1119.83825</v>
          </cell>
          <cell r="G47">
            <v>1842.629539</v>
          </cell>
          <cell r="H47">
            <v>1565.77639</v>
          </cell>
          <cell r="I47">
            <v>0.64544257976542596</v>
          </cell>
          <cell r="J47">
            <v>-0.15024894757209253</v>
          </cell>
          <cell r="K47">
            <v>0.24759681609666673</v>
          </cell>
        </row>
      </sheetData>
      <sheetData sheetId="1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MENSIONES"/>
      <sheetName val="DIAGNOSTICO CADENAS PRODUCT"/>
      <sheetName val="PUNTUACION"/>
      <sheetName val="RESULTADOS"/>
      <sheetName val="1,1"/>
      <sheetName val="1,1.1"/>
      <sheetName val="1,2 "/>
      <sheetName val="1,3"/>
      <sheetName val="1,3(1)"/>
      <sheetName val="1,3 (2)"/>
      <sheetName val="1,3 (3)"/>
      <sheetName val="1,3 (4)"/>
      <sheetName val="1,3 (5)"/>
      <sheetName val="1,3 (6)"/>
      <sheetName val="Hoja1"/>
    </sheetNames>
    <sheetDataSet>
      <sheetData sheetId="0"/>
      <sheetData sheetId="1"/>
      <sheetData sheetId="2">
        <row r="3">
          <cell r="D3" t="str">
            <v>Nivel</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0">
          <cell r="D10" t="str">
            <v>La empresa cliente integra a su estrategia corporativa la gestión para el desarrollo de proveedores, la comunicación  y promoción de planes de mejora en productividad, innovación, además de explorar nuevas oportunidades para el aumento de la competitividad de la cadena de suministro. 
Por ello, es recomendable mantener y fortalecer el plan estratégico existente, asegurando su actualización continua en respuesta a las dinámicas del mercado y las necesidades de los proveedores. Es crucial seguir revisando y mejorando los indicadores de desempeño en colaboración con los proveedores, asegurando que se alcancen y superen las metas establecidas. Además, debe mantenerse un enfoque en la innovación y la generación de valor, asignando consistentemente recursos en el presupuesto para el desarrollo de proveedores y ampliando las sinergias y alianzas estratégicas para obtener beneficios mutuos.</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C STORY"/>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alogo"/>
      <sheetName val="MDdPx"/>
      <sheetName val="Cronograma"/>
      <sheetName val="naty"/>
      <sheetName val="DDP-F6"/>
      <sheetName val="DDP-P2"/>
      <sheetName val="DDP-P2-LB"/>
      <sheetName val="DDP-P3"/>
      <sheetName val="DDP-P4"/>
      <sheetName val="DDP-H7"/>
    </sheetNames>
    <sheetDataSet>
      <sheetData sheetId="0" refreshError="1"/>
      <sheetData sheetId="1" refreshError="1"/>
      <sheetData sheetId="2" refreshError="1"/>
      <sheetData sheetId="3" refreshError="1"/>
      <sheetData sheetId="4" refreshError="1"/>
      <sheetData sheetId="5" refreshError="1"/>
      <sheetData sheetId="6">
        <row r="3">
          <cell r="Y3" t="str">
            <v>Calidad</v>
          </cell>
        </row>
        <row r="4">
          <cell r="Y4" t="str">
            <v>Suministro</v>
          </cell>
        </row>
        <row r="5">
          <cell r="Y5" t="str">
            <v>Servicio al cliente</v>
          </cell>
        </row>
        <row r="6">
          <cell r="Y6" t="str">
            <v>Productividad</v>
          </cell>
        </row>
        <row r="7">
          <cell r="Y7" t="str">
            <v>Recurso humano</v>
          </cell>
        </row>
        <row r="8">
          <cell r="Y8" t="str">
            <v>Nuevos mercados</v>
          </cell>
        </row>
      </sheetData>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alogo"/>
      <sheetName val="MDdPx"/>
      <sheetName val="Cronograma"/>
      <sheetName val="naty"/>
      <sheetName val="DDP-F6"/>
      <sheetName val="DDP-P2"/>
      <sheetName val="DDP-P2-LB"/>
      <sheetName val="DDP-P3"/>
      <sheetName val="DDP-P4"/>
      <sheetName val="DDP-H7"/>
    </sheetNames>
    <sheetDataSet>
      <sheetData sheetId="0" refreshError="1"/>
      <sheetData sheetId="1" refreshError="1"/>
      <sheetData sheetId="2"/>
      <sheetData sheetId="3" refreshError="1"/>
      <sheetData sheetId="4" refreshError="1"/>
      <sheetData sheetId="5" refreshError="1"/>
      <sheetData sheetId="6">
        <row r="3">
          <cell r="Y3" t="str">
            <v>Calidad</v>
          </cell>
        </row>
        <row r="4">
          <cell r="Y4" t="str">
            <v>Suministro</v>
          </cell>
        </row>
        <row r="5">
          <cell r="Y5" t="str">
            <v>Servicio al cliente</v>
          </cell>
        </row>
        <row r="6">
          <cell r="Y6" t="str">
            <v>Productividad</v>
          </cell>
        </row>
        <row r="7">
          <cell r="Y7" t="str">
            <v>Recurso humano</v>
          </cell>
        </row>
        <row r="8">
          <cell r="Y8" t="str">
            <v>Nuevos mercados</v>
          </cell>
        </row>
      </sheetData>
      <sheetData sheetId="7" refreshError="1"/>
      <sheetData sheetId="8" refreshError="1"/>
      <sheetData sheetId="9"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ACEE0-8BF1-4F7F-8868-EB6A55ED6C62}">
  <dimension ref="B1:Q34"/>
  <sheetViews>
    <sheetView showGridLines="0" tabSelected="1" zoomScale="90" zoomScaleNormal="90" workbookViewId="0">
      <selection activeCell="I18" sqref="I18"/>
    </sheetView>
  </sheetViews>
  <sheetFormatPr baseColWidth="10" defaultRowHeight="15"/>
  <cols>
    <col min="1" max="1" width="7.85546875" customWidth="1"/>
    <col min="2" max="2" width="4.140625" customWidth="1"/>
    <col min="3" max="4" width="13" style="3" customWidth="1"/>
    <col min="5" max="5" width="14.140625" style="3" customWidth="1"/>
    <col min="6" max="6" width="12.85546875" style="3" customWidth="1"/>
    <col min="7" max="7" width="14" style="3" customWidth="1"/>
    <col min="8" max="8" width="17.42578125" style="3" customWidth="1"/>
    <col min="9" max="9" width="16.42578125" style="3" customWidth="1"/>
    <col min="10" max="10" width="14.140625" style="3" customWidth="1"/>
    <col min="11" max="11" width="13.5703125" style="3" customWidth="1"/>
    <col min="12" max="12" width="14.5703125" style="3" customWidth="1"/>
    <col min="13" max="13" width="12.140625" style="3" customWidth="1"/>
    <col min="14" max="14" width="11" style="3" customWidth="1"/>
    <col min="15" max="15" width="30.5703125" style="3" customWidth="1"/>
    <col min="16" max="16" width="13.140625" customWidth="1"/>
  </cols>
  <sheetData>
    <row r="1" spans="2:17" ht="15.75" customHeight="1"/>
    <row r="2" spans="2:17" ht="15.75" customHeight="1"/>
    <row r="3" spans="2:17" ht="26.25">
      <c r="C3" s="80" t="s">
        <v>63</v>
      </c>
      <c r="D3" s="80"/>
      <c r="E3" s="80"/>
      <c r="F3" s="80"/>
      <c r="G3" s="80"/>
      <c r="H3" s="80"/>
      <c r="I3" s="80"/>
    </row>
    <row r="5" spans="2:17" ht="15.75">
      <c r="C5" s="81" t="s">
        <v>50</v>
      </c>
      <c r="D5" s="81"/>
      <c r="E5" s="81"/>
      <c r="F5" s="4" t="s">
        <v>0</v>
      </c>
      <c r="G5" s="4"/>
      <c r="H5" s="5"/>
      <c r="I5" s="5"/>
      <c r="J5" s="82" t="s">
        <v>52</v>
      </c>
      <c r="K5" s="6">
        <v>9</v>
      </c>
      <c r="L5" s="83" t="s">
        <v>55</v>
      </c>
      <c r="M5" s="89">
        <f>+K5/K6</f>
        <v>0.9</v>
      </c>
    </row>
    <row r="6" spans="2:17" ht="15.75">
      <c r="C6" s="81"/>
      <c r="D6" s="81"/>
      <c r="E6" s="81"/>
      <c r="F6" s="5" t="s">
        <v>1</v>
      </c>
      <c r="G6" s="5"/>
      <c r="H6" s="5"/>
      <c r="I6" s="5"/>
      <c r="J6" s="82"/>
      <c r="K6" s="7">
        <f>+B26</f>
        <v>10</v>
      </c>
      <c r="L6" s="83"/>
      <c r="M6" s="89"/>
    </row>
    <row r="7" spans="2:17" ht="20.25" customHeight="1">
      <c r="C7" s="88" t="s">
        <v>117</v>
      </c>
      <c r="D7" s="88"/>
      <c r="E7" s="88"/>
      <c r="F7" s="88"/>
      <c r="G7" s="88"/>
      <c r="H7" s="88"/>
      <c r="I7" s="88"/>
      <c r="J7" s="8"/>
      <c r="K7" s="9"/>
      <c r="M7" s="10"/>
      <c r="N7" s="3" t="s">
        <v>206</v>
      </c>
      <c r="Q7" t="s">
        <v>207</v>
      </c>
    </row>
    <row r="8" spans="2:17" ht="18">
      <c r="C8" s="11"/>
      <c r="D8" s="11"/>
      <c r="E8" s="11"/>
      <c r="J8" s="8"/>
      <c r="K8" s="9"/>
      <c r="M8" s="10"/>
    </row>
    <row r="9" spans="2:17" ht="15" customHeight="1">
      <c r="C9" s="81" t="s">
        <v>3</v>
      </c>
      <c r="D9" s="81"/>
      <c r="E9" s="81"/>
      <c r="F9" s="4" t="s">
        <v>2</v>
      </c>
      <c r="G9" s="4"/>
      <c r="H9" s="4"/>
      <c r="I9" s="5"/>
      <c r="J9" s="82" t="s">
        <v>53</v>
      </c>
      <c r="K9" s="6">
        <f>+M29</f>
        <v>8</v>
      </c>
      <c r="L9" s="83" t="s">
        <v>55</v>
      </c>
      <c r="M9" s="89">
        <f>+K9/K10</f>
        <v>0.8</v>
      </c>
    </row>
    <row r="10" spans="2:17" ht="15.75">
      <c r="C10" s="81"/>
      <c r="D10" s="81"/>
      <c r="E10" s="81"/>
      <c r="F10" s="5" t="s">
        <v>1</v>
      </c>
      <c r="G10" s="5"/>
      <c r="H10" s="5"/>
      <c r="I10" s="5"/>
      <c r="J10" s="82"/>
      <c r="K10" s="7">
        <f>+B26</f>
        <v>10</v>
      </c>
      <c r="L10" s="83"/>
      <c r="M10" s="89"/>
    </row>
    <row r="11" spans="2:17" ht="22.5" customHeight="1">
      <c r="C11" s="34" t="s">
        <v>118</v>
      </c>
      <c r="D11" s="11"/>
      <c r="E11" s="11"/>
      <c r="K11" s="12"/>
      <c r="M11" s="10"/>
    </row>
    <row r="12" spans="2:17" ht="6" customHeight="1" thickBot="1">
      <c r="C12" s="11"/>
      <c r="D12" s="11"/>
      <c r="E12" s="11"/>
      <c r="K12" s="12"/>
      <c r="M12" s="10"/>
    </row>
    <row r="13" spans="2:17" ht="24.75" customHeight="1" thickBot="1">
      <c r="C13" s="84" t="s">
        <v>59</v>
      </c>
      <c r="D13" s="85"/>
      <c r="E13" s="85"/>
      <c r="F13" s="86" t="s">
        <v>119</v>
      </c>
      <c r="G13" s="86"/>
      <c r="H13" s="86"/>
      <c r="I13" s="87"/>
      <c r="J13" s="35" t="s">
        <v>120</v>
      </c>
      <c r="K13" s="23">
        <f>+M5</f>
        <v>0.9</v>
      </c>
      <c r="L13" s="24" t="s">
        <v>54</v>
      </c>
      <c r="M13" s="22">
        <f>+M9</f>
        <v>0.8</v>
      </c>
      <c r="N13" s="13">
        <f>+M13*K13</f>
        <v>0.72000000000000008</v>
      </c>
    </row>
    <row r="16" spans="2:17" ht="49.5" customHeight="1">
      <c r="B16" s="1"/>
      <c r="C16" s="14" t="s">
        <v>4</v>
      </c>
      <c r="D16" s="14" t="s">
        <v>5</v>
      </c>
      <c r="E16" s="14" t="s">
        <v>6</v>
      </c>
      <c r="F16" s="14" t="s">
        <v>127</v>
      </c>
      <c r="G16" s="14" t="s">
        <v>51</v>
      </c>
      <c r="H16" s="14" t="s">
        <v>7</v>
      </c>
      <c r="I16" s="14" t="s">
        <v>64</v>
      </c>
      <c r="J16" s="25" t="s">
        <v>8</v>
      </c>
      <c r="K16" s="14" t="s">
        <v>57</v>
      </c>
      <c r="L16" s="14" t="s">
        <v>122</v>
      </c>
      <c r="M16" s="14" t="s">
        <v>58</v>
      </c>
      <c r="N16" s="14" t="s">
        <v>121</v>
      </c>
      <c r="O16" s="14" t="s">
        <v>133</v>
      </c>
      <c r="P16" s="14" t="s">
        <v>130</v>
      </c>
    </row>
    <row r="17" spans="2:16">
      <c r="B17" s="2">
        <v>1</v>
      </c>
      <c r="C17" s="20">
        <v>44399</v>
      </c>
      <c r="D17" s="21" t="s">
        <v>9</v>
      </c>
      <c r="E17" s="21" t="s">
        <v>19</v>
      </c>
      <c r="F17" s="27" t="s">
        <v>128</v>
      </c>
      <c r="G17" s="21" t="s">
        <v>29</v>
      </c>
      <c r="H17" s="21" t="s">
        <v>39</v>
      </c>
      <c r="I17" s="21" t="s">
        <v>40</v>
      </c>
      <c r="J17" s="20">
        <v>45861</v>
      </c>
      <c r="K17" s="20">
        <v>45862</v>
      </c>
      <c r="L17" s="26">
        <f>K17-J17</f>
        <v>1</v>
      </c>
      <c r="M17" s="26">
        <f>IF(L17&gt;=1,0,1)</f>
        <v>0</v>
      </c>
      <c r="N17" s="26">
        <v>1</v>
      </c>
      <c r="O17" s="21"/>
      <c r="P17" s="21"/>
    </row>
    <row r="18" spans="2:16">
      <c r="B18" s="2">
        <v>2</v>
      </c>
      <c r="C18" s="20">
        <v>44399</v>
      </c>
      <c r="D18" s="21" t="s">
        <v>10</v>
      </c>
      <c r="E18" s="21" t="s">
        <v>20</v>
      </c>
      <c r="F18" s="27" t="s">
        <v>129</v>
      </c>
      <c r="G18" s="21" t="s">
        <v>30</v>
      </c>
      <c r="H18" s="21" t="s">
        <v>39</v>
      </c>
      <c r="I18" s="21" t="s">
        <v>41</v>
      </c>
      <c r="J18" s="20">
        <v>45861</v>
      </c>
      <c r="K18" s="20">
        <v>45861</v>
      </c>
      <c r="L18" s="26">
        <f t="shared" ref="L18:L26" si="0">K18-J18</f>
        <v>0</v>
      </c>
      <c r="M18" s="26">
        <f t="shared" ref="M18:M26" si="1">IF(L18&gt;=1,0,1)</f>
        <v>1</v>
      </c>
      <c r="N18" s="26">
        <v>1</v>
      </c>
      <c r="O18" s="21"/>
      <c r="P18" s="21"/>
    </row>
    <row r="19" spans="2:16">
      <c r="B19" s="2">
        <v>3</v>
      </c>
      <c r="C19" s="20">
        <v>44399</v>
      </c>
      <c r="D19" s="21" t="s">
        <v>11</v>
      </c>
      <c r="E19" s="21" t="s">
        <v>21</v>
      </c>
      <c r="F19" s="27" t="s">
        <v>128</v>
      </c>
      <c r="G19" s="21" t="s">
        <v>31</v>
      </c>
      <c r="H19" s="21" t="s">
        <v>39</v>
      </c>
      <c r="I19" s="21" t="s">
        <v>42</v>
      </c>
      <c r="J19" s="20">
        <v>45861</v>
      </c>
      <c r="K19" s="20">
        <v>45860</v>
      </c>
      <c r="L19" s="26">
        <f t="shared" si="0"/>
        <v>-1</v>
      </c>
      <c r="M19" s="26">
        <f t="shared" si="1"/>
        <v>1</v>
      </c>
      <c r="N19" s="26">
        <v>1</v>
      </c>
      <c r="O19" s="21"/>
      <c r="P19" s="21"/>
    </row>
    <row r="20" spans="2:16">
      <c r="B20" s="2">
        <v>4</v>
      </c>
      <c r="C20" s="20">
        <v>44399</v>
      </c>
      <c r="D20" s="21" t="s">
        <v>12</v>
      </c>
      <c r="E20" s="21" t="s">
        <v>22</v>
      </c>
      <c r="F20" s="27" t="s">
        <v>129</v>
      </c>
      <c r="G20" s="21" t="s">
        <v>32</v>
      </c>
      <c r="H20" s="21" t="s">
        <v>39</v>
      </c>
      <c r="I20" s="21" t="s">
        <v>43</v>
      </c>
      <c r="J20" s="20">
        <v>45861</v>
      </c>
      <c r="K20" s="20">
        <v>45861</v>
      </c>
      <c r="L20" s="26">
        <f t="shared" si="0"/>
        <v>0</v>
      </c>
      <c r="M20" s="26">
        <f t="shared" si="1"/>
        <v>1</v>
      </c>
      <c r="N20" s="26">
        <v>0</v>
      </c>
      <c r="O20" s="21"/>
      <c r="P20" s="21"/>
    </row>
    <row r="21" spans="2:16">
      <c r="B21" s="2">
        <v>5</v>
      </c>
      <c r="C21" s="20">
        <v>44399</v>
      </c>
      <c r="D21" s="21" t="s">
        <v>13</v>
      </c>
      <c r="E21" s="21" t="s">
        <v>23</v>
      </c>
      <c r="F21" s="27" t="s">
        <v>128</v>
      </c>
      <c r="G21" s="21" t="s">
        <v>33</v>
      </c>
      <c r="H21" s="21" t="s">
        <v>39</v>
      </c>
      <c r="I21" s="21" t="s">
        <v>44</v>
      </c>
      <c r="J21" s="20">
        <v>45865</v>
      </c>
      <c r="K21" s="20">
        <v>45863</v>
      </c>
      <c r="L21" s="26">
        <f t="shared" si="0"/>
        <v>-2</v>
      </c>
      <c r="M21" s="26">
        <f t="shared" si="1"/>
        <v>1</v>
      </c>
      <c r="N21" s="26">
        <v>0</v>
      </c>
      <c r="O21" s="21"/>
      <c r="P21" s="21"/>
    </row>
    <row r="22" spans="2:16">
      <c r="B22" s="2">
        <v>6</v>
      </c>
      <c r="C22" s="20">
        <v>44399</v>
      </c>
      <c r="D22" s="21" t="s">
        <v>14</v>
      </c>
      <c r="E22" s="21" t="s">
        <v>24</v>
      </c>
      <c r="F22" s="27" t="s">
        <v>129</v>
      </c>
      <c r="G22" s="21" t="s">
        <v>34</v>
      </c>
      <c r="H22" s="21" t="s">
        <v>39</v>
      </c>
      <c r="I22" s="21" t="s">
        <v>45</v>
      </c>
      <c r="J22" s="20">
        <v>45861</v>
      </c>
      <c r="K22" s="20">
        <v>45861</v>
      </c>
      <c r="L22" s="26">
        <f t="shared" si="0"/>
        <v>0</v>
      </c>
      <c r="M22" s="26">
        <f t="shared" si="1"/>
        <v>1</v>
      </c>
      <c r="N22" s="26">
        <v>1</v>
      </c>
      <c r="O22" s="21"/>
      <c r="P22" s="21"/>
    </row>
    <row r="23" spans="2:16">
      <c r="B23" s="2">
        <v>7</v>
      </c>
      <c r="C23" s="20">
        <v>44399</v>
      </c>
      <c r="D23" s="21" t="s">
        <v>15</v>
      </c>
      <c r="E23" s="21" t="s">
        <v>25</v>
      </c>
      <c r="F23" s="27" t="s">
        <v>128</v>
      </c>
      <c r="G23" s="21" t="s">
        <v>35</v>
      </c>
      <c r="H23" s="21" t="s">
        <v>39</v>
      </c>
      <c r="I23" s="21" t="s">
        <v>46</v>
      </c>
      <c r="J23" s="20">
        <v>45864</v>
      </c>
      <c r="K23" s="20">
        <v>45861</v>
      </c>
      <c r="L23" s="26">
        <f t="shared" si="0"/>
        <v>-3</v>
      </c>
      <c r="M23" s="26">
        <f t="shared" si="1"/>
        <v>1</v>
      </c>
      <c r="N23" s="26">
        <v>1</v>
      </c>
      <c r="O23" s="21"/>
      <c r="P23" s="21"/>
    </row>
    <row r="24" spans="2:16">
      <c r="B24" s="2">
        <v>8</v>
      </c>
      <c r="C24" s="20">
        <v>44399</v>
      </c>
      <c r="D24" s="21" t="s">
        <v>16</v>
      </c>
      <c r="E24" s="21" t="s">
        <v>26</v>
      </c>
      <c r="F24" s="27" t="s">
        <v>129</v>
      </c>
      <c r="G24" s="21" t="s">
        <v>36</v>
      </c>
      <c r="H24" s="21" t="s">
        <v>39</v>
      </c>
      <c r="I24" s="21" t="s">
        <v>47</v>
      </c>
      <c r="J24" s="20">
        <v>45861</v>
      </c>
      <c r="K24" s="20">
        <v>45862</v>
      </c>
      <c r="L24" s="26">
        <f t="shared" si="0"/>
        <v>1</v>
      </c>
      <c r="M24" s="26">
        <f t="shared" si="1"/>
        <v>0</v>
      </c>
      <c r="N24" s="26">
        <v>1</v>
      </c>
      <c r="O24" s="21"/>
      <c r="P24" s="21"/>
    </row>
    <row r="25" spans="2:16">
      <c r="B25" s="2">
        <v>9</v>
      </c>
      <c r="C25" s="20">
        <v>44399</v>
      </c>
      <c r="D25" s="21" t="s">
        <v>17</v>
      </c>
      <c r="E25" s="21" t="s">
        <v>27</v>
      </c>
      <c r="F25" s="27" t="s">
        <v>128</v>
      </c>
      <c r="G25" s="21" t="s">
        <v>37</v>
      </c>
      <c r="H25" s="21" t="s">
        <v>39</v>
      </c>
      <c r="I25" s="21" t="s">
        <v>48</v>
      </c>
      <c r="J25" s="20">
        <v>45861</v>
      </c>
      <c r="K25" s="20">
        <v>45863</v>
      </c>
      <c r="L25" s="26">
        <f t="shared" si="0"/>
        <v>2</v>
      </c>
      <c r="M25" s="26">
        <f t="shared" si="1"/>
        <v>0</v>
      </c>
      <c r="N25" s="26">
        <v>1</v>
      </c>
      <c r="O25" s="21"/>
      <c r="P25" s="21"/>
    </row>
    <row r="26" spans="2:16">
      <c r="B26" s="2">
        <v>10</v>
      </c>
      <c r="C26" s="20">
        <v>44399</v>
      </c>
      <c r="D26" s="21" t="s">
        <v>18</v>
      </c>
      <c r="E26" s="21" t="s">
        <v>28</v>
      </c>
      <c r="F26" s="27" t="s">
        <v>129</v>
      </c>
      <c r="G26" s="21" t="s">
        <v>38</v>
      </c>
      <c r="H26" s="21" t="s">
        <v>39</v>
      </c>
      <c r="I26" s="21" t="s">
        <v>49</v>
      </c>
      <c r="J26" s="20">
        <v>45861</v>
      </c>
      <c r="K26" s="20">
        <v>45864</v>
      </c>
      <c r="L26" s="26">
        <f t="shared" si="0"/>
        <v>3</v>
      </c>
      <c r="M26" s="26">
        <f t="shared" si="1"/>
        <v>0</v>
      </c>
      <c r="N26" s="26">
        <v>1</v>
      </c>
      <c r="O26" s="21"/>
      <c r="P26" s="21"/>
    </row>
    <row r="28" spans="2:16" ht="18">
      <c r="E28" s="3" t="s">
        <v>56</v>
      </c>
      <c r="L28" s="15" t="s">
        <v>131</v>
      </c>
      <c r="M28" s="36">
        <f>SUM(M17:M26)</f>
        <v>6</v>
      </c>
    </row>
    <row r="29" spans="2:16" ht="18">
      <c r="D29" s="16"/>
      <c r="E29" s="3" t="s">
        <v>60</v>
      </c>
      <c r="L29" s="15" t="s">
        <v>132</v>
      </c>
      <c r="M29" s="36">
        <f>SUM(N17:N26)</f>
        <v>8</v>
      </c>
    </row>
    <row r="30" spans="2:16" ht="15.75">
      <c r="D30" s="17"/>
      <c r="E30" s="3" t="s">
        <v>62</v>
      </c>
      <c r="L30" s="15" t="s">
        <v>123</v>
      </c>
      <c r="M30" s="37">
        <f>COUNTA(D17:D26)</f>
        <v>10</v>
      </c>
    </row>
    <row r="31" spans="2:16">
      <c r="D31" s="18"/>
      <c r="E31" s="3" t="s">
        <v>61</v>
      </c>
    </row>
    <row r="32" spans="2:16">
      <c r="L32" s="3" t="s">
        <v>124</v>
      </c>
      <c r="M32" s="38">
        <f>+M28/M30</f>
        <v>0.6</v>
      </c>
    </row>
    <row r="33" spans="4:13" ht="15.75" thickBot="1">
      <c r="G33" s="19"/>
      <c r="L33" s="3" t="s">
        <v>125</v>
      </c>
      <c r="M33" s="39">
        <f>+M29/M30</f>
        <v>0.8</v>
      </c>
    </row>
    <row r="34" spans="4:13" ht="15.75" thickBot="1">
      <c r="D34" s="3" t="s">
        <v>148</v>
      </c>
      <c r="L34" s="3" t="s">
        <v>126</v>
      </c>
      <c r="M34" s="40">
        <f>+M32*M33</f>
        <v>0.48</v>
      </c>
    </row>
  </sheetData>
  <mergeCells count="12">
    <mergeCell ref="C13:E13"/>
    <mergeCell ref="F13:I13"/>
    <mergeCell ref="C7:I7"/>
    <mergeCell ref="M5:M6"/>
    <mergeCell ref="M9:M10"/>
    <mergeCell ref="C3:I3"/>
    <mergeCell ref="C5:E6"/>
    <mergeCell ref="J5:J6"/>
    <mergeCell ref="L5:L6"/>
    <mergeCell ref="C9:E10"/>
    <mergeCell ref="J9:J10"/>
    <mergeCell ref="L9:L10"/>
  </mergeCells>
  <conditionalFormatting sqref="M17:N26">
    <cfRule type="cellIs" dxfId="1" priority="1" operator="equal">
      <formula>0</formula>
    </cfRule>
  </conditionalFormatting>
  <conditionalFormatting sqref="M17:P26">
    <cfRule type="cellIs" dxfId="0" priority="2" operator="greaterThan">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EE15E-ACF3-496E-8284-7EF1513ED764}">
  <dimension ref="B2:G46"/>
  <sheetViews>
    <sheetView showGridLines="0" zoomScale="80" zoomScaleNormal="80" workbookViewId="0">
      <selection activeCell="C6" sqref="C6"/>
    </sheetView>
  </sheetViews>
  <sheetFormatPr baseColWidth="10" defaultRowHeight="15"/>
  <cols>
    <col min="2" max="2" width="65" customWidth="1"/>
    <col min="6" max="6" width="30.85546875" customWidth="1"/>
    <col min="7" max="7" width="34.140625" customWidth="1"/>
  </cols>
  <sheetData>
    <row r="2" spans="2:7" ht="18">
      <c r="B2" s="33" t="s">
        <v>116</v>
      </c>
    </row>
    <row r="3" spans="2:7">
      <c r="B3" s="30"/>
      <c r="C3" s="90" t="s">
        <v>142</v>
      </c>
      <c r="D3" s="90"/>
      <c r="E3" s="90"/>
    </row>
    <row r="4" spans="2:7" ht="30">
      <c r="B4" s="64" t="s">
        <v>86</v>
      </c>
      <c r="C4" s="65" t="s">
        <v>144</v>
      </c>
      <c r="D4" s="65" t="s">
        <v>143</v>
      </c>
      <c r="E4" s="65" t="s">
        <v>145</v>
      </c>
      <c r="F4" s="79" t="s">
        <v>195</v>
      </c>
      <c r="G4" s="65" t="s">
        <v>208</v>
      </c>
    </row>
    <row r="5" spans="2:7">
      <c r="B5" s="31"/>
      <c r="C5" s="74"/>
      <c r="D5" s="74"/>
      <c r="E5" s="74"/>
      <c r="F5" s="77"/>
      <c r="G5" s="2"/>
    </row>
    <row r="6" spans="2:7">
      <c r="B6" s="28" t="s">
        <v>87</v>
      </c>
      <c r="C6" s="74">
        <v>1</v>
      </c>
      <c r="D6" s="74"/>
      <c r="E6" s="74"/>
      <c r="F6" s="77"/>
      <c r="G6" s="2"/>
    </row>
    <row r="7" spans="2:7" ht="75">
      <c r="B7" s="28" t="s">
        <v>113</v>
      </c>
      <c r="C7" s="74"/>
      <c r="D7" s="74">
        <v>1</v>
      </c>
      <c r="E7" s="74"/>
      <c r="F7" s="77" t="s">
        <v>199</v>
      </c>
      <c r="G7" s="2"/>
    </row>
    <row r="8" spans="2:7" ht="30">
      <c r="B8" s="28" t="s">
        <v>114</v>
      </c>
      <c r="C8" s="74"/>
      <c r="D8" s="74">
        <v>1</v>
      </c>
      <c r="E8" s="74"/>
      <c r="F8" s="77" t="s">
        <v>198</v>
      </c>
      <c r="G8" s="2"/>
    </row>
    <row r="9" spans="2:7">
      <c r="B9" s="28" t="s">
        <v>115</v>
      </c>
      <c r="C9" s="74"/>
      <c r="D9" s="74"/>
      <c r="E9" s="74">
        <v>1</v>
      </c>
      <c r="F9" s="77" t="s">
        <v>200</v>
      </c>
      <c r="G9" s="2"/>
    </row>
    <row r="10" spans="2:7">
      <c r="B10" s="30"/>
      <c r="C10" s="74"/>
      <c r="D10" s="74"/>
      <c r="E10" s="74"/>
      <c r="F10" s="77"/>
      <c r="G10" s="2"/>
    </row>
    <row r="11" spans="2:7" ht="18">
      <c r="B11" s="64" t="s">
        <v>88</v>
      </c>
      <c r="C11" s="74"/>
      <c r="D11" s="74"/>
      <c r="E11" s="74"/>
      <c r="F11" s="77"/>
      <c r="G11" s="2"/>
    </row>
    <row r="12" spans="2:7">
      <c r="B12" s="30"/>
      <c r="C12" s="74"/>
      <c r="D12" s="74"/>
      <c r="E12" s="74"/>
      <c r="F12" s="77"/>
      <c r="G12" s="2"/>
    </row>
    <row r="13" spans="2:7" ht="30">
      <c r="B13" s="28" t="s">
        <v>89</v>
      </c>
      <c r="C13" s="74"/>
      <c r="D13" s="74">
        <v>1</v>
      </c>
      <c r="E13" s="74"/>
      <c r="F13" s="78" t="s">
        <v>196</v>
      </c>
      <c r="G13" s="2"/>
    </row>
    <row r="14" spans="2:7" ht="30">
      <c r="B14" s="28" t="s">
        <v>90</v>
      </c>
      <c r="C14" s="74"/>
      <c r="D14" s="74"/>
      <c r="E14" s="74">
        <v>1</v>
      </c>
      <c r="F14" s="78" t="s">
        <v>197</v>
      </c>
      <c r="G14" s="2"/>
    </row>
    <row r="15" spans="2:7" ht="30">
      <c r="B15" s="28" t="s">
        <v>91</v>
      </c>
      <c r="C15" s="74"/>
      <c r="D15" s="74">
        <v>1</v>
      </c>
      <c r="E15" s="74"/>
      <c r="F15" s="78" t="s">
        <v>201</v>
      </c>
      <c r="G15" s="2"/>
    </row>
    <row r="16" spans="2:7">
      <c r="B16" s="28" t="s">
        <v>92</v>
      </c>
      <c r="C16" s="74">
        <v>1</v>
      </c>
      <c r="D16" s="74"/>
      <c r="E16" s="74"/>
      <c r="F16" s="77"/>
      <c r="G16" s="2"/>
    </row>
    <row r="17" spans="2:7">
      <c r="B17" s="28" t="s">
        <v>93</v>
      </c>
      <c r="C17" s="74">
        <v>1</v>
      </c>
      <c r="D17" s="74"/>
      <c r="E17" s="74"/>
      <c r="F17" s="77"/>
      <c r="G17" s="2"/>
    </row>
    <row r="18" spans="2:7">
      <c r="B18" s="30"/>
      <c r="C18" s="74"/>
      <c r="D18" s="74"/>
      <c r="E18" s="74"/>
      <c r="F18" s="77"/>
      <c r="G18" s="2"/>
    </row>
    <row r="19" spans="2:7" ht="18">
      <c r="B19" s="64" t="s">
        <v>94</v>
      </c>
      <c r="C19" s="74"/>
      <c r="D19" s="74"/>
      <c r="E19" s="74"/>
      <c r="F19" s="77"/>
      <c r="G19" s="2"/>
    </row>
    <row r="20" spans="2:7">
      <c r="B20" s="30"/>
      <c r="C20" s="74"/>
      <c r="D20" s="74"/>
      <c r="E20" s="74"/>
      <c r="F20" s="77"/>
      <c r="G20" s="2"/>
    </row>
    <row r="21" spans="2:7" ht="45">
      <c r="B21" s="28" t="s">
        <v>95</v>
      </c>
      <c r="C21" s="75"/>
      <c r="D21" s="75">
        <v>1</v>
      </c>
      <c r="E21" s="75"/>
      <c r="F21" s="77" t="s">
        <v>202</v>
      </c>
      <c r="G21" s="2"/>
    </row>
    <row r="22" spans="2:7">
      <c r="B22" s="28" t="s">
        <v>96</v>
      </c>
      <c r="C22" s="75">
        <v>1</v>
      </c>
      <c r="D22" s="75"/>
      <c r="E22" s="75"/>
      <c r="F22" s="77"/>
      <c r="G22" s="2"/>
    </row>
    <row r="23" spans="2:7" ht="45">
      <c r="B23" s="28" t="s">
        <v>97</v>
      </c>
      <c r="C23" s="75"/>
      <c r="D23" s="75">
        <v>1</v>
      </c>
      <c r="E23" s="75"/>
      <c r="F23" s="77" t="s">
        <v>203</v>
      </c>
      <c r="G23" s="2"/>
    </row>
    <row r="24" spans="2:7">
      <c r="B24" s="28" t="s">
        <v>98</v>
      </c>
      <c r="C24" s="75">
        <v>1</v>
      </c>
      <c r="D24" s="75"/>
      <c r="E24" s="75"/>
      <c r="F24" s="77"/>
      <c r="G24" s="2"/>
    </row>
    <row r="25" spans="2:7">
      <c r="B25" s="28" t="s">
        <v>99</v>
      </c>
      <c r="C25" s="75">
        <v>1</v>
      </c>
      <c r="D25" s="75"/>
      <c r="E25" s="75"/>
      <c r="F25" s="77"/>
      <c r="G25" s="2"/>
    </row>
    <row r="26" spans="2:7">
      <c r="B26" s="30"/>
      <c r="C26" s="2"/>
      <c r="D26" s="2"/>
      <c r="E26" s="2"/>
      <c r="F26" s="77"/>
      <c r="G26" s="2"/>
    </row>
    <row r="27" spans="2:7" ht="18">
      <c r="B27" s="64" t="s">
        <v>100</v>
      </c>
      <c r="C27" s="2"/>
      <c r="D27" s="2"/>
      <c r="E27" s="2"/>
      <c r="F27" s="77"/>
      <c r="G27" s="2"/>
    </row>
    <row r="28" spans="2:7">
      <c r="B28" s="31"/>
      <c r="C28" s="2"/>
      <c r="D28" s="2"/>
      <c r="E28" s="2"/>
      <c r="F28" s="77"/>
      <c r="G28" s="2"/>
    </row>
    <row r="29" spans="2:7">
      <c r="B29" s="28" t="s">
        <v>101</v>
      </c>
      <c r="C29" s="74">
        <v>1</v>
      </c>
      <c r="D29" s="74"/>
      <c r="E29" s="74"/>
      <c r="F29" s="77"/>
      <c r="G29" s="2"/>
    </row>
    <row r="30" spans="2:7">
      <c r="B30" s="28" t="s">
        <v>102</v>
      </c>
      <c r="C30" s="74">
        <v>1</v>
      </c>
      <c r="D30" s="74"/>
      <c r="E30" s="74"/>
      <c r="F30" s="77"/>
      <c r="G30" s="2"/>
    </row>
    <row r="31" spans="2:7">
      <c r="B31" s="28" t="s">
        <v>103</v>
      </c>
      <c r="C31" s="74">
        <v>1</v>
      </c>
      <c r="D31" s="74"/>
      <c r="E31" s="74"/>
      <c r="F31" s="77"/>
      <c r="G31" s="2"/>
    </row>
    <row r="32" spans="2:7">
      <c r="B32" s="30"/>
      <c r="C32" s="2"/>
      <c r="D32" s="2"/>
      <c r="E32" s="2"/>
      <c r="F32" s="77"/>
      <c r="G32" s="2"/>
    </row>
    <row r="33" spans="2:7" ht="18">
      <c r="B33" s="64" t="s">
        <v>104</v>
      </c>
      <c r="C33" s="2"/>
      <c r="D33" s="2"/>
      <c r="E33" s="2"/>
      <c r="F33" s="77"/>
      <c r="G33" s="2"/>
    </row>
    <row r="34" spans="2:7">
      <c r="B34" s="31"/>
      <c r="C34" s="2"/>
      <c r="D34" s="2"/>
      <c r="E34" s="2"/>
      <c r="F34" s="77"/>
      <c r="G34" s="2"/>
    </row>
    <row r="35" spans="2:7">
      <c r="B35" s="28" t="s">
        <v>105</v>
      </c>
      <c r="C35" s="74">
        <v>1</v>
      </c>
      <c r="D35" s="74"/>
      <c r="E35" s="74"/>
      <c r="F35" s="77"/>
      <c r="G35" s="2"/>
    </row>
    <row r="36" spans="2:7" ht="45">
      <c r="B36" s="28" t="s">
        <v>106</v>
      </c>
      <c r="C36" s="74"/>
      <c r="D36" s="74">
        <v>1</v>
      </c>
      <c r="E36" s="74"/>
      <c r="F36" s="77" t="s">
        <v>204</v>
      </c>
      <c r="G36" s="2"/>
    </row>
    <row r="37" spans="2:7">
      <c r="B37" s="28" t="s">
        <v>107</v>
      </c>
      <c r="C37" s="74">
        <v>1</v>
      </c>
      <c r="D37" s="74"/>
      <c r="E37" s="74"/>
      <c r="F37" s="77"/>
      <c r="G37" s="2"/>
    </row>
    <row r="38" spans="2:7">
      <c r="B38" s="28" t="s">
        <v>108</v>
      </c>
      <c r="C38" s="74">
        <v>1</v>
      </c>
      <c r="D38" s="74">
        <v>1</v>
      </c>
      <c r="E38" s="74"/>
      <c r="F38" s="77" t="s">
        <v>205</v>
      </c>
      <c r="G38" s="2"/>
    </row>
    <row r="39" spans="2:7">
      <c r="B39" s="30"/>
      <c r="C39" s="2"/>
      <c r="D39" s="2"/>
      <c r="E39" s="2"/>
      <c r="F39" s="77"/>
      <c r="G39" s="2"/>
    </row>
    <row r="40" spans="2:7" ht="18">
      <c r="B40" s="64" t="s">
        <v>149</v>
      </c>
      <c r="C40" s="2"/>
      <c r="D40" s="2"/>
      <c r="E40" s="2"/>
      <c r="F40" s="77"/>
      <c r="G40" s="2"/>
    </row>
    <row r="41" spans="2:7">
      <c r="B41" s="31"/>
      <c r="C41" s="2"/>
      <c r="D41" s="2"/>
      <c r="E41" s="2"/>
      <c r="F41" s="77"/>
      <c r="G41" s="2"/>
    </row>
    <row r="42" spans="2:7">
      <c r="B42" s="28" t="s">
        <v>109</v>
      </c>
      <c r="C42" s="74">
        <v>1</v>
      </c>
      <c r="D42" s="74"/>
      <c r="E42" s="74"/>
      <c r="F42" s="77"/>
      <c r="G42" s="2"/>
    </row>
    <row r="43" spans="2:7">
      <c r="B43" s="28" t="s">
        <v>110</v>
      </c>
      <c r="C43" s="74">
        <v>1</v>
      </c>
      <c r="D43" s="74"/>
      <c r="E43" s="74"/>
      <c r="F43" s="77"/>
      <c r="G43" s="2"/>
    </row>
    <row r="44" spans="2:7">
      <c r="B44" s="28" t="s">
        <v>111</v>
      </c>
      <c r="C44" s="76"/>
      <c r="D44" s="76"/>
      <c r="E44" s="76"/>
      <c r="F44" s="77"/>
      <c r="G44" s="2"/>
    </row>
    <row r="45" spans="2:7">
      <c r="B45" s="28" t="s">
        <v>112</v>
      </c>
      <c r="C45" s="74">
        <v>1</v>
      </c>
      <c r="D45" s="74"/>
      <c r="E45" s="74"/>
      <c r="F45" s="77"/>
      <c r="G45" s="2"/>
    </row>
    <row r="46" spans="2:7">
      <c r="C46">
        <f>SUM(C5:C45)</f>
        <v>15</v>
      </c>
      <c r="D46">
        <f>SUM(D5:D45)</f>
        <v>8</v>
      </c>
      <c r="E46">
        <f>SUM(E5:E45)</f>
        <v>2</v>
      </c>
    </row>
  </sheetData>
  <autoFilter ref="B4:G4" xr:uid="{50BEE15E-ACF3-496E-8284-7EF1513ED764}"/>
  <mergeCells count="1">
    <mergeCell ref="C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D97D-9E66-4CF0-9F3C-2A6691B1AD39}">
  <sheetPr>
    <pageSetUpPr fitToPage="1"/>
  </sheetPr>
  <dimension ref="A1:U57"/>
  <sheetViews>
    <sheetView showGridLines="0" topLeftCell="D2" zoomScale="80" zoomScaleNormal="80" zoomScaleSheetLayoutView="55" workbookViewId="0">
      <selection activeCell="H18" sqref="H16:H18"/>
    </sheetView>
  </sheetViews>
  <sheetFormatPr baseColWidth="10" defaultRowHeight="12.75"/>
  <cols>
    <col min="1" max="1" width="7.42578125" style="45" hidden="1" customWidth="1"/>
    <col min="2" max="2" width="7.5703125" style="44" hidden="1" customWidth="1"/>
    <col min="3" max="3" width="7.42578125" style="44" hidden="1" customWidth="1"/>
    <col min="4" max="16" width="7.42578125" style="44" customWidth="1"/>
    <col min="17" max="17" width="11.28515625" style="44" customWidth="1"/>
    <col min="18" max="20" width="7.42578125" style="44" customWidth="1"/>
    <col min="21" max="21" width="1.140625" style="44" customWidth="1"/>
    <col min="22" max="22" width="5.42578125" style="44" customWidth="1"/>
    <col min="23" max="256" width="11.42578125" style="44"/>
    <col min="257" max="259" width="0" style="44" hidden="1" customWidth="1"/>
    <col min="260" max="272" width="7.42578125" style="44" customWidth="1"/>
    <col min="273" max="273" width="11.28515625" style="44" customWidth="1"/>
    <col min="274" max="276" width="7.42578125" style="44" customWidth="1"/>
    <col min="277" max="277" width="1.140625" style="44" customWidth="1"/>
    <col min="278" max="278" width="5.42578125" style="44" customWidth="1"/>
    <col min="279" max="512" width="11.42578125" style="44"/>
    <col min="513" max="515" width="0" style="44" hidden="1" customWidth="1"/>
    <col min="516" max="528" width="7.42578125" style="44" customWidth="1"/>
    <col min="529" max="529" width="11.28515625" style="44" customWidth="1"/>
    <col min="530" max="532" width="7.42578125" style="44" customWidth="1"/>
    <col min="533" max="533" width="1.140625" style="44" customWidth="1"/>
    <col min="534" max="534" width="5.42578125" style="44" customWidth="1"/>
    <col min="535" max="768" width="11.42578125" style="44"/>
    <col min="769" max="771" width="0" style="44" hidden="1" customWidth="1"/>
    <col min="772" max="784" width="7.42578125" style="44" customWidth="1"/>
    <col min="785" max="785" width="11.28515625" style="44" customWidth="1"/>
    <col min="786" max="788" width="7.42578125" style="44" customWidth="1"/>
    <col min="789" max="789" width="1.140625" style="44" customWidth="1"/>
    <col min="790" max="790" width="5.42578125" style="44" customWidth="1"/>
    <col min="791" max="1024" width="11.42578125" style="44"/>
    <col min="1025" max="1027" width="0" style="44" hidden="1" customWidth="1"/>
    <col min="1028" max="1040" width="7.42578125" style="44" customWidth="1"/>
    <col min="1041" max="1041" width="11.28515625" style="44" customWidth="1"/>
    <col min="1042" max="1044" width="7.42578125" style="44" customWidth="1"/>
    <col min="1045" max="1045" width="1.140625" style="44" customWidth="1"/>
    <col min="1046" max="1046" width="5.42578125" style="44" customWidth="1"/>
    <col min="1047" max="1280" width="11.42578125" style="44"/>
    <col min="1281" max="1283" width="0" style="44" hidden="1" customWidth="1"/>
    <col min="1284" max="1296" width="7.42578125" style="44" customWidth="1"/>
    <col min="1297" max="1297" width="11.28515625" style="44" customWidth="1"/>
    <col min="1298" max="1300" width="7.42578125" style="44" customWidth="1"/>
    <col min="1301" max="1301" width="1.140625" style="44" customWidth="1"/>
    <col min="1302" max="1302" width="5.42578125" style="44" customWidth="1"/>
    <col min="1303" max="1536" width="11.42578125" style="44"/>
    <col min="1537" max="1539" width="0" style="44" hidden="1" customWidth="1"/>
    <col min="1540" max="1552" width="7.42578125" style="44" customWidth="1"/>
    <col min="1553" max="1553" width="11.28515625" style="44" customWidth="1"/>
    <col min="1554" max="1556" width="7.42578125" style="44" customWidth="1"/>
    <col min="1557" max="1557" width="1.140625" style="44" customWidth="1"/>
    <col min="1558" max="1558" width="5.42578125" style="44" customWidth="1"/>
    <col min="1559" max="1792" width="11.42578125" style="44"/>
    <col min="1793" max="1795" width="0" style="44" hidden="1" customWidth="1"/>
    <col min="1796" max="1808" width="7.42578125" style="44" customWidth="1"/>
    <col min="1809" max="1809" width="11.28515625" style="44" customWidth="1"/>
    <col min="1810" max="1812" width="7.42578125" style="44" customWidth="1"/>
    <col min="1813" max="1813" width="1.140625" style="44" customWidth="1"/>
    <col min="1814" max="1814" width="5.42578125" style="44" customWidth="1"/>
    <col min="1815" max="2048" width="11.42578125" style="44"/>
    <col min="2049" max="2051" width="0" style="44" hidden="1" customWidth="1"/>
    <col min="2052" max="2064" width="7.42578125" style="44" customWidth="1"/>
    <col min="2065" max="2065" width="11.28515625" style="44" customWidth="1"/>
    <col min="2066" max="2068" width="7.42578125" style="44" customWidth="1"/>
    <col min="2069" max="2069" width="1.140625" style="44" customWidth="1"/>
    <col min="2070" max="2070" width="5.42578125" style="44" customWidth="1"/>
    <col min="2071" max="2304" width="11.42578125" style="44"/>
    <col min="2305" max="2307" width="0" style="44" hidden="1" customWidth="1"/>
    <col min="2308" max="2320" width="7.42578125" style="44" customWidth="1"/>
    <col min="2321" max="2321" width="11.28515625" style="44" customWidth="1"/>
    <col min="2322" max="2324" width="7.42578125" style="44" customWidth="1"/>
    <col min="2325" max="2325" width="1.140625" style="44" customWidth="1"/>
    <col min="2326" max="2326" width="5.42578125" style="44" customWidth="1"/>
    <col min="2327" max="2560" width="11.42578125" style="44"/>
    <col min="2561" max="2563" width="0" style="44" hidden="1" customWidth="1"/>
    <col min="2564" max="2576" width="7.42578125" style="44" customWidth="1"/>
    <col min="2577" max="2577" width="11.28515625" style="44" customWidth="1"/>
    <col min="2578" max="2580" width="7.42578125" style="44" customWidth="1"/>
    <col min="2581" max="2581" width="1.140625" style="44" customWidth="1"/>
    <col min="2582" max="2582" width="5.42578125" style="44" customWidth="1"/>
    <col min="2583" max="2816" width="11.42578125" style="44"/>
    <col min="2817" max="2819" width="0" style="44" hidden="1" customWidth="1"/>
    <col min="2820" max="2832" width="7.42578125" style="44" customWidth="1"/>
    <col min="2833" max="2833" width="11.28515625" style="44" customWidth="1"/>
    <col min="2834" max="2836" width="7.42578125" style="44" customWidth="1"/>
    <col min="2837" max="2837" width="1.140625" style="44" customWidth="1"/>
    <col min="2838" max="2838" width="5.42578125" style="44" customWidth="1"/>
    <col min="2839" max="3072" width="11.42578125" style="44"/>
    <col min="3073" max="3075" width="0" style="44" hidden="1" customWidth="1"/>
    <col min="3076" max="3088" width="7.42578125" style="44" customWidth="1"/>
    <col min="3089" max="3089" width="11.28515625" style="44" customWidth="1"/>
    <col min="3090" max="3092" width="7.42578125" style="44" customWidth="1"/>
    <col min="3093" max="3093" width="1.140625" style="44" customWidth="1"/>
    <col min="3094" max="3094" width="5.42578125" style="44" customWidth="1"/>
    <col min="3095" max="3328" width="11.42578125" style="44"/>
    <col min="3329" max="3331" width="0" style="44" hidden="1" customWidth="1"/>
    <col min="3332" max="3344" width="7.42578125" style="44" customWidth="1"/>
    <col min="3345" max="3345" width="11.28515625" style="44" customWidth="1"/>
    <col min="3346" max="3348" width="7.42578125" style="44" customWidth="1"/>
    <col min="3349" max="3349" width="1.140625" style="44" customWidth="1"/>
    <col min="3350" max="3350" width="5.42578125" style="44" customWidth="1"/>
    <col min="3351" max="3584" width="11.42578125" style="44"/>
    <col min="3585" max="3587" width="0" style="44" hidden="1" customWidth="1"/>
    <col min="3588" max="3600" width="7.42578125" style="44" customWidth="1"/>
    <col min="3601" max="3601" width="11.28515625" style="44" customWidth="1"/>
    <col min="3602" max="3604" width="7.42578125" style="44" customWidth="1"/>
    <col min="3605" max="3605" width="1.140625" style="44" customWidth="1"/>
    <col min="3606" max="3606" width="5.42578125" style="44" customWidth="1"/>
    <col min="3607" max="3840" width="11.42578125" style="44"/>
    <col min="3841" max="3843" width="0" style="44" hidden="1" customWidth="1"/>
    <col min="3844" max="3856" width="7.42578125" style="44" customWidth="1"/>
    <col min="3857" max="3857" width="11.28515625" style="44" customWidth="1"/>
    <col min="3858" max="3860" width="7.42578125" style="44" customWidth="1"/>
    <col min="3861" max="3861" width="1.140625" style="44" customWidth="1"/>
    <col min="3862" max="3862" width="5.42578125" style="44" customWidth="1"/>
    <col min="3863" max="4096" width="11.42578125" style="44"/>
    <col min="4097" max="4099" width="0" style="44" hidden="1" customWidth="1"/>
    <col min="4100" max="4112" width="7.42578125" style="44" customWidth="1"/>
    <col min="4113" max="4113" width="11.28515625" style="44" customWidth="1"/>
    <col min="4114" max="4116" width="7.42578125" style="44" customWidth="1"/>
    <col min="4117" max="4117" width="1.140625" style="44" customWidth="1"/>
    <col min="4118" max="4118" width="5.42578125" style="44" customWidth="1"/>
    <col min="4119" max="4352" width="11.42578125" style="44"/>
    <col min="4353" max="4355" width="0" style="44" hidden="1" customWidth="1"/>
    <col min="4356" max="4368" width="7.42578125" style="44" customWidth="1"/>
    <col min="4369" max="4369" width="11.28515625" style="44" customWidth="1"/>
    <col min="4370" max="4372" width="7.42578125" style="44" customWidth="1"/>
    <col min="4373" max="4373" width="1.140625" style="44" customWidth="1"/>
    <col min="4374" max="4374" width="5.42578125" style="44" customWidth="1"/>
    <col min="4375" max="4608" width="11.42578125" style="44"/>
    <col min="4609" max="4611" width="0" style="44" hidden="1" customWidth="1"/>
    <col min="4612" max="4624" width="7.42578125" style="44" customWidth="1"/>
    <col min="4625" max="4625" width="11.28515625" style="44" customWidth="1"/>
    <col min="4626" max="4628" width="7.42578125" style="44" customWidth="1"/>
    <col min="4629" max="4629" width="1.140625" style="44" customWidth="1"/>
    <col min="4630" max="4630" width="5.42578125" style="44" customWidth="1"/>
    <col min="4631" max="4864" width="11.42578125" style="44"/>
    <col min="4865" max="4867" width="0" style="44" hidden="1" customWidth="1"/>
    <col min="4868" max="4880" width="7.42578125" style="44" customWidth="1"/>
    <col min="4881" max="4881" width="11.28515625" style="44" customWidth="1"/>
    <col min="4882" max="4884" width="7.42578125" style="44" customWidth="1"/>
    <col min="4885" max="4885" width="1.140625" style="44" customWidth="1"/>
    <col min="4886" max="4886" width="5.42578125" style="44" customWidth="1"/>
    <col min="4887" max="5120" width="11.42578125" style="44"/>
    <col min="5121" max="5123" width="0" style="44" hidden="1" customWidth="1"/>
    <col min="5124" max="5136" width="7.42578125" style="44" customWidth="1"/>
    <col min="5137" max="5137" width="11.28515625" style="44" customWidth="1"/>
    <col min="5138" max="5140" width="7.42578125" style="44" customWidth="1"/>
    <col min="5141" max="5141" width="1.140625" style="44" customWidth="1"/>
    <col min="5142" max="5142" width="5.42578125" style="44" customWidth="1"/>
    <col min="5143" max="5376" width="11.42578125" style="44"/>
    <col min="5377" max="5379" width="0" style="44" hidden="1" customWidth="1"/>
    <col min="5380" max="5392" width="7.42578125" style="44" customWidth="1"/>
    <col min="5393" max="5393" width="11.28515625" style="44" customWidth="1"/>
    <col min="5394" max="5396" width="7.42578125" style="44" customWidth="1"/>
    <col min="5397" max="5397" width="1.140625" style="44" customWidth="1"/>
    <col min="5398" max="5398" width="5.42578125" style="44" customWidth="1"/>
    <col min="5399" max="5632" width="11.42578125" style="44"/>
    <col min="5633" max="5635" width="0" style="44" hidden="1" customWidth="1"/>
    <col min="5636" max="5648" width="7.42578125" style="44" customWidth="1"/>
    <col min="5649" max="5649" width="11.28515625" style="44" customWidth="1"/>
    <col min="5650" max="5652" width="7.42578125" style="44" customWidth="1"/>
    <col min="5653" max="5653" width="1.140625" style="44" customWidth="1"/>
    <col min="5654" max="5654" width="5.42578125" style="44" customWidth="1"/>
    <col min="5655" max="5888" width="11.42578125" style="44"/>
    <col min="5889" max="5891" width="0" style="44" hidden="1" customWidth="1"/>
    <col min="5892" max="5904" width="7.42578125" style="44" customWidth="1"/>
    <col min="5905" max="5905" width="11.28515625" style="44" customWidth="1"/>
    <col min="5906" max="5908" width="7.42578125" style="44" customWidth="1"/>
    <col min="5909" max="5909" width="1.140625" style="44" customWidth="1"/>
    <col min="5910" max="5910" width="5.42578125" style="44" customWidth="1"/>
    <col min="5911" max="6144" width="11.42578125" style="44"/>
    <col min="6145" max="6147" width="0" style="44" hidden="1" customWidth="1"/>
    <col min="6148" max="6160" width="7.42578125" style="44" customWidth="1"/>
    <col min="6161" max="6161" width="11.28515625" style="44" customWidth="1"/>
    <col min="6162" max="6164" width="7.42578125" style="44" customWidth="1"/>
    <col min="6165" max="6165" width="1.140625" style="44" customWidth="1"/>
    <col min="6166" max="6166" width="5.42578125" style="44" customWidth="1"/>
    <col min="6167" max="6400" width="11.42578125" style="44"/>
    <col min="6401" max="6403" width="0" style="44" hidden="1" customWidth="1"/>
    <col min="6404" max="6416" width="7.42578125" style="44" customWidth="1"/>
    <col min="6417" max="6417" width="11.28515625" style="44" customWidth="1"/>
    <col min="6418" max="6420" width="7.42578125" style="44" customWidth="1"/>
    <col min="6421" max="6421" width="1.140625" style="44" customWidth="1"/>
    <col min="6422" max="6422" width="5.42578125" style="44" customWidth="1"/>
    <col min="6423" max="6656" width="11.42578125" style="44"/>
    <col min="6657" max="6659" width="0" style="44" hidden="1" customWidth="1"/>
    <col min="6660" max="6672" width="7.42578125" style="44" customWidth="1"/>
    <col min="6673" max="6673" width="11.28515625" style="44" customWidth="1"/>
    <col min="6674" max="6676" width="7.42578125" style="44" customWidth="1"/>
    <col min="6677" max="6677" width="1.140625" style="44" customWidth="1"/>
    <col min="6678" max="6678" width="5.42578125" style="44" customWidth="1"/>
    <col min="6679" max="6912" width="11.42578125" style="44"/>
    <col min="6913" max="6915" width="0" style="44" hidden="1" customWidth="1"/>
    <col min="6916" max="6928" width="7.42578125" style="44" customWidth="1"/>
    <col min="6929" max="6929" width="11.28515625" style="44" customWidth="1"/>
    <col min="6930" max="6932" width="7.42578125" style="44" customWidth="1"/>
    <col min="6933" max="6933" width="1.140625" style="44" customWidth="1"/>
    <col min="6934" max="6934" width="5.42578125" style="44" customWidth="1"/>
    <col min="6935" max="7168" width="11.42578125" style="44"/>
    <col min="7169" max="7171" width="0" style="44" hidden="1" customWidth="1"/>
    <col min="7172" max="7184" width="7.42578125" style="44" customWidth="1"/>
    <col min="7185" max="7185" width="11.28515625" style="44" customWidth="1"/>
    <col min="7186" max="7188" width="7.42578125" style="44" customWidth="1"/>
    <col min="7189" max="7189" width="1.140625" style="44" customWidth="1"/>
    <col min="7190" max="7190" width="5.42578125" style="44" customWidth="1"/>
    <col min="7191" max="7424" width="11.42578125" style="44"/>
    <col min="7425" max="7427" width="0" style="44" hidden="1" customWidth="1"/>
    <col min="7428" max="7440" width="7.42578125" style="44" customWidth="1"/>
    <col min="7441" max="7441" width="11.28515625" style="44" customWidth="1"/>
    <col min="7442" max="7444" width="7.42578125" style="44" customWidth="1"/>
    <col min="7445" max="7445" width="1.140625" style="44" customWidth="1"/>
    <col min="7446" max="7446" width="5.42578125" style="44" customWidth="1"/>
    <col min="7447" max="7680" width="11.42578125" style="44"/>
    <col min="7681" max="7683" width="0" style="44" hidden="1" customWidth="1"/>
    <col min="7684" max="7696" width="7.42578125" style="44" customWidth="1"/>
    <col min="7697" max="7697" width="11.28515625" style="44" customWidth="1"/>
    <col min="7698" max="7700" width="7.42578125" style="44" customWidth="1"/>
    <col min="7701" max="7701" width="1.140625" style="44" customWidth="1"/>
    <col min="7702" max="7702" width="5.42578125" style="44" customWidth="1"/>
    <col min="7703" max="7936" width="11.42578125" style="44"/>
    <col min="7937" max="7939" width="0" style="44" hidden="1" customWidth="1"/>
    <col min="7940" max="7952" width="7.42578125" style="44" customWidth="1"/>
    <col min="7953" max="7953" width="11.28515625" style="44" customWidth="1"/>
    <col min="7954" max="7956" width="7.42578125" style="44" customWidth="1"/>
    <col min="7957" max="7957" width="1.140625" style="44" customWidth="1"/>
    <col min="7958" max="7958" width="5.42578125" style="44" customWidth="1"/>
    <col min="7959" max="8192" width="11.42578125" style="44"/>
    <col min="8193" max="8195" width="0" style="44" hidden="1" customWidth="1"/>
    <col min="8196" max="8208" width="7.42578125" style="44" customWidth="1"/>
    <col min="8209" max="8209" width="11.28515625" style="44" customWidth="1"/>
    <col min="8210" max="8212" width="7.42578125" style="44" customWidth="1"/>
    <col min="8213" max="8213" width="1.140625" style="44" customWidth="1"/>
    <col min="8214" max="8214" width="5.42578125" style="44" customWidth="1"/>
    <col min="8215" max="8448" width="11.42578125" style="44"/>
    <col min="8449" max="8451" width="0" style="44" hidden="1" customWidth="1"/>
    <col min="8452" max="8464" width="7.42578125" style="44" customWidth="1"/>
    <col min="8465" max="8465" width="11.28515625" style="44" customWidth="1"/>
    <col min="8466" max="8468" width="7.42578125" style="44" customWidth="1"/>
    <col min="8469" max="8469" width="1.140625" style="44" customWidth="1"/>
    <col min="8470" max="8470" width="5.42578125" style="44" customWidth="1"/>
    <col min="8471" max="8704" width="11.42578125" style="44"/>
    <col min="8705" max="8707" width="0" style="44" hidden="1" customWidth="1"/>
    <col min="8708" max="8720" width="7.42578125" style="44" customWidth="1"/>
    <col min="8721" max="8721" width="11.28515625" style="44" customWidth="1"/>
    <col min="8722" max="8724" width="7.42578125" style="44" customWidth="1"/>
    <col min="8725" max="8725" width="1.140625" style="44" customWidth="1"/>
    <col min="8726" max="8726" width="5.42578125" style="44" customWidth="1"/>
    <col min="8727" max="8960" width="11.42578125" style="44"/>
    <col min="8961" max="8963" width="0" style="44" hidden="1" customWidth="1"/>
    <col min="8964" max="8976" width="7.42578125" style="44" customWidth="1"/>
    <col min="8977" max="8977" width="11.28515625" style="44" customWidth="1"/>
    <col min="8978" max="8980" width="7.42578125" style="44" customWidth="1"/>
    <col min="8981" max="8981" width="1.140625" style="44" customWidth="1"/>
    <col min="8982" max="8982" width="5.42578125" style="44" customWidth="1"/>
    <col min="8983" max="9216" width="11.42578125" style="44"/>
    <col min="9217" max="9219" width="0" style="44" hidden="1" customWidth="1"/>
    <col min="9220" max="9232" width="7.42578125" style="44" customWidth="1"/>
    <col min="9233" max="9233" width="11.28515625" style="44" customWidth="1"/>
    <col min="9234" max="9236" width="7.42578125" style="44" customWidth="1"/>
    <col min="9237" max="9237" width="1.140625" style="44" customWidth="1"/>
    <col min="9238" max="9238" width="5.42578125" style="44" customWidth="1"/>
    <col min="9239" max="9472" width="11.42578125" style="44"/>
    <col min="9473" max="9475" width="0" style="44" hidden="1" customWidth="1"/>
    <col min="9476" max="9488" width="7.42578125" style="44" customWidth="1"/>
    <col min="9489" max="9489" width="11.28515625" style="44" customWidth="1"/>
    <col min="9490" max="9492" width="7.42578125" style="44" customWidth="1"/>
    <col min="9493" max="9493" width="1.140625" style="44" customWidth="1"/>
    <col min="9494" max="9494" width="5.42578125" style="44" customWidth="1"/>
    <col min="9495" max="9728" width="11.42578125" style="44"/>
    <col min="9729" max="9731" width="0" style="44" hidden="1" customWidth="1"/>
    <col min="9732" max="9744" width="7.42578125" style="44" customWidth="1"/>
    <col min="9745" max="9745" width="11.28515625" style="44" customWidth="1"/>
    <col min="9746" max="9748" width="7.42578125" style="44" customWidth="1"/>
    <col min="9749" max="9749" width="1.140625" style="44" customWidth="1"/>
    <col min="9750" max="9750" width="5.42578125" style="44" customWidth="1"/>
    <col min="9751" max="9984" width="11.42578125" style="44"/>
    <col min="9985" max="9987" width="0" style="44" hidden="1" customWidth="1"/>
    <col min="9988" max="10000" width="7.42578125" style="44" customWidth="1"/>
    <col min="10001" max="10001" width="11.28515625" style="44" customWidth="1"/>
    <col min="10002" max="10004" width="7.42578125" style="44" customWidth="1"/>
    <col min="10005" max="10005" width="1.140625" style="44" customWidth="1"/>
    <col min="10006" max="10006" width="5.42578125" style="44" customWidth="1"/>
    <col min="10007" max="10240" width="11.42578125" style="44"/>
    <col min="10241" max="10243" width="0" style="44" hidden="1" customWidth="1"/>
    <col min="10244" max="10256" width="7.42578125" style="44" customWidth="1"/>
    <col min="10257" max="10257" width="11.28515625" style="44" customWidth="1"/>
    <col min="10258" max="10260" width="7.42578125" style="44" customWidth="1"/>
    <col min="10261" max="10261" width="1.140625" style="44" customWidth="1"/>
    <col min="10262" max="10262" width="5.42578125" style="44" customWidth="1"/>
    <col min="10263" max="10496" width="11.42578125" style="44"/>
    <col min="10497" max="10499" width="0" style="44" hidden="1" customWidth="1"/>
    <col min="10500" max="10512" width="7.42578125" style="44" customWidth="1"/>
    <col min="10513" max="10513" width="11.28515625" style="44" customWidth="1"/>
    <col min="10514" max="10516" width="7.42578125" style="44" customWidth="1"/>
    <col min="10517" max="10517" width="1.140625" style="44" customWidth="1"/>
    <col min="10518" max="10518" width="5.42578125" style="44" customWidth="1"/>
    <col min="10519" max="10752" width="11.42578125" style="44"/>
    <col min="10753" max="10755" width="0" style="44" hidden="1" customWidth="1"/>
    <col min="10756" max="10768" width="7.42578125" style="44" customWidth="1"/>
    <col min="10769" max="10769" width="11.28515625" style="44" customWidth="1"/>
    <col min="10770" max="10772" width="7.42578125" style="44" customWidth="1"/>
    <col min="10773" max="10773" width="1.140625" style="44" customWidth="1"/>
    <col min="10774" max="10774" width="5.42578125" style="44" customWidth="1"/>
    <col min="10775" max="11008" width="11.42578125" style="44"/>
    <col min="11009" max="11011" width="0" style="44" hidden="1" customWidth="1"/>
    <col min="11012" max="11024" width="7.42578125" style="44" customWidth="1"/>
    <col min="11025" max="11025" width="11.28515625" style="44" customWidth="1"/>
    <col min="11026" max="11028" width="7.42578125" style="44" customWidth="1"/>
    <col min="11029" max="11029" width="1.140625" style="44" customWidth="1"/>
    <col min="11030" max="11030" width="5.42578125" style="44" customWidth="1"/>
    <col min="11031" max="11264" width="11.42578125" style="44"/>
    <col min="11265" max="11267" width="0" style="44" hidden="1" customWidth="1"/>
    <col min="11268" max="11280" width="7.42578125" style="44" customWidth="1"/>
    <col min="11281" max="11281" width="11.28515625" style="44" customWidth="1"/>
    <col min="11282" max="11284" width="7.42578125" style="44" customWidth="1"/>
    <col min="11285" max="11285" width="1.140625" style="44" customWidth="1"/>
    <col min="11286" max="11286" width="5.42578125" style="44" customWidth="1"/>
    <col min="11287" max="11520" width="11.42578125" style="44"/>
    <col min="11521" max="11523" width="0" style="44" hidden="1" customWidth="1"/>
    <col min="11524" max="11536" width="7.42578125" style="44" customWidth="1"/>
    <col min="11537" max="11537" width="11.28515625" style="44" customWidth="1"/>
    <col min="11538" max="11540" width="7.42578125" style="44" customWidth="1"/>
    <col min="11541" max="11541" width="1.140625" style="44" customWidth="1"/>
    <col min="11542" max="11542" width="5.42578125" style="44" customWidth="1"/>
    <col min="11543" max="11776" width="11.42578125" style="44"/>
    <col min="11777" max="11779" width="0" style="44" hidden="1" customWidth="1"/>
    <col min="11780" max="11792" width="7.42578125" style="44" customWidth="1"/>
    <col min="11793" max="11793" width="11.28515625" style="44" customWidth="1"/>
    <col min="11794" max="11796" width="7.42578125" style="44" customWidth="1"/>
    <col min="11797" max="11797" width="1.140625" style="44" customWidth="1"/>
    <col min="11798" max="11798" width="5.42578125" style="44" customWidth="1"/>
    <col min="11799" max="12032" width="11.42578125" style="44"/>
    <col min="12033" max="12035" width="0" style="44" hidden="1" customWidth="1"/>
    <col min="12036" max="12048" width="7.42578125" style="44" customWidth="1"/>
    <col min="12049" max="12049" width="11.28515625" style="44" customWidth="1"/>
    <col min="12050" max="12052" width="7.42578125" style="44" customWidth="1"/>
    <col min="12053" max="12053" width="1.140625" style="44" customWidth="1"/>
    <col min="12054" max="12054" width="5.42578125" style="44" customWidth="1"/>
    <col min="12055" max="12288" width="11.42578125" style="44"/>
    <col min="12289" max="12291" width="0" style="44" hidden="1" customWidth="1"/>
    <col min="12292" max="12304" width="7.42578125" style="44" customWidth="1"/>
    <col min="12305" max="12305" width="11.28515625" style="44" customWidth="1"/>
    <col min="12306" max="12308" width="7.42578125" style="44" customWidth="1"/>
    <col min="12309" max="12309" width="1.140625" style="44" customWidth="1"/>
    <col min="12310" max="12310" width="5.42578125" style="44" customWidth="1"/>
    <col min="12311" max="12544" width="11.42578125" style="44"/>
    <col min="12545" max="12547" width="0" style="44" hidden="1" customWidth="1"/>
    <col min="12548" max="12560" width="7.42578125" style="44" customWidth="1"/>
    <col min="12561" max="12561" width="11.28515625" style="44" customWidth="1"/>
    <col min="12562" max="12564" width="7.42578125" style="44" customWidth="1"/>
    <col min="12565" max="12565" width="1.140625" style="44" customWidth="1"/>
    <col min="12566" max="12566" width="5.42578125" style="44" customWidth="1"/>
    <col min="12567" max="12800" width="11.42578125" style="44"/>
    <col min="12801" max="12803" width="0" style="44" hidden="1" customWidth="1"/>
    <col min="12804" max="12816" width="7.42578125" style="44" customWidth="1"/>
    <col min="12817" max="12817" width="11.28515625" style="44" customWidth="1"/>
    <col min="12818" max="12820" width="7.42578125" style="44" customWidth="1"/>
    <col min="12821" max="12821" width="1.140625" style="44" customWidth="1"/>
    <col min="12822" max="12822" width="5.42578125" style="44" customWidth="1"/>
    <col min="12823" max="13056" width="11.42578125" style="44"/>
    <col min="13057" max="13059" width="0" style="44" hidden="1" customWidth="1"/>
    <col min="13060" max="13072" width="7.42578125" style="44" customWidth="1"/>
    <col min="13073" max="13073" width="11.28515625" style="44" customWidth="1"/>
    <col min="13074" max="13076" width="7.42578125" style="44" customWidth="1"/>
    <col min="13077" max="13077" width="1.140625" style="44" customWidth="1"/>
    <col min="13078" max="13078" width="5.42578125" style="44" customWidth="1"/>
    <col min="13079" max="13312" width="11.42578125" style="44"/>
    <col min="13313" max="13315" width="0" style="44" hidden="1" customWidth="1"/>
    <col min="13316" max="13328" width="7.42578125" style="44" customWidth="1"/>
    <col min="13329" max="13329" width="11.28515625" style="44" customWidth="1"/>
    <col min="13330" max="13332" width="7.42578125" style="44" customWidth="1"/>
    <col min="13333" max="13333" width="1.140625" style="44" customWidth="1"/>
    <col min="13334" max="13334" width="5.42578125" style="44" customWidth="1"/>
    <col min="13335" max="13568" width="11.42578125" style="44"/>
    <col min="13569" max="13571" width="0" style="44" hidden="1" customWidth="1"/>
    <col min="13572" max="13584" width="7.42578125" style="44" customWidth="1"/>
    <col min="13585" max="13585" width="11.28515625" style="44" customWidth="1"/>
    <col min="13586" max="13588" width="7.42578125" style="44" customWidth="1"/>
    <col min="13589" max="13589" width="1.140625" style="44" customWidth="1"/>
    <col min="13590" max="13590" width="5.42578125" style="44" customWidth="1"/>
    <col min="13591" max="13824" width="11.42578125" style="44"/>
    <col min="13825" max="13827" width="0" style="44" hidden="1" customWidth="1"/>
    <col min="13828" max="13840" width="7.42578125" style="44" customWidth="1"/>
    <col min="13841" max="13841" width="11.28515625" style="44" customWidth="1"/>
    <col min="13842" max="13844" width="7.42578125" style="44" customWidth="1"/>
    <col min="13845" max="13845" width="1.140625" style="44" customWidth="1"/>
    <col min="13846" max="13846" width="5.42578125" style="44" customWidth="1"/>
    <col min="13847" max="14080" width="11.42578125" style="44"/>
    <col min="14081" max="14083" width="0" style="44" hidden="1" customWidth="1"/>
    <col min="14084" max="14096" width="7.42578125" style="44" customWidth="1"/>
    <col min="14097" max="14097" width="11.28515625" style="44" customWidth="1"/>
    <col min="14098" max="14100" width="7.42578125" style="44" customWidth="1"/>
    <col min="14101" max="14101" width="1.140625" style="44" customWidth="1"/>
    <col min="14102" max="14102" width="5.42578125" style="44" customWidth="1"/>
    <col min="14103" max="14336" width="11.42578125" style="44"/>
    <col min="14337" max="14339" width="0" style="44" hidden="1" customWidth="1"/>
    <col min="14340" max="14352" width="7.42578125" style="44" customWidth="1"/>
    <col min="14353" max="14353" width="11.28515625" style="44" customWidth="1"/>
    <col min="14354" max="14356" width="7.42578125" style="44" customWidth="1"/>
    <col min="14357" max="14357" width="1.140625" style="44" customWidth="1"/>
    <col min="14358" max="14358" width="5.42578125" style="44" customWidth="1"/>
    <col min="14359" max="14592" width="11.42578125" style="44"/>
    <col min="14593" max="14595" width="0" style="44" hidden="1" customWidth="1"/>
    <col min="14596" max="14608" width="7.42578125" style="44" customWidth="1"/>
    <col min="14609" max="14609" width="11.28515625" style="44" customWidth="1"/>
    <col min="14610" max="14612" width="7.42578125" style="44" customWidth="1"/>
    <col min="14613" max="14613" width="1.140625" style="44" customWidth="1"/>
    <col min="14614" max="14614" width="5.42578125" style="44" customWidth="1"/>
    <col min="14615" max="14848" width="11.42578125" style="44"/>
    <col min="14849" max="14851" width="0" style="44" hidden="1" customWidth="1"/>
    <col min="14852" max="14864" width="7.42578125" style="44" customWidth="1"/>
    <col min="14865" max="14865" width="11.28515625" style="44" customWidth="1"/>
    <col min="14866" max="14868" width="7.42578125" style="44" customWidth="1"/>
    <col min="14869" max="14869" width="1.140625" style="44" customWidth="1"/>
    <col min="14870" max="14870" width="5.42578125" style="44" customWidth="1"/>
    <col min="14871" max="15104" width="11.42578125" style="44"/>
    <col min="15105" max="15107" width="0" style="44" hidden="1" customWidth="1"/>
    <col min="15108" max="15120" width="7.42578125" style="44" customWidth="1"/>
    <col min="15121" max="15121" width="11.28515625" style="44" customWidth="1"/>
    <col min="15122" max="15124" width="7.42578125" style="44" customWidth="1"/>
    <col min="15125" max="15125" width="1.140625" style="44" customWidth="1"/>
    <col min="15126" max="15126" width="5.42578125" style="44" customWidth="1"/>
    <col min="15127" max="15360" width="11.42578125" style="44"/>
    <col min="15361" max="15363" width="0" style="44" hidden="1" customWidth="1"/>
    <col min="15364" max="15376" width="7.42578125" style="44" customWidth="1"/>
    <col min="15377" max="15377" width="11.28515625" style="44" customWidth="1"/>
    <col min="15378" max="15380" width="7.42578125" style="44" customWidth="1"/>
    <col min="15381" max="15381" width="1.140625" style="44" customWidth="1"/>
    <col min="15382" max="15382" width="5.42578125" style="44" customWidth="1"/>
    <col min="15383" max="15616" width="11.42578125" style="44"/>
    <col min="15617" max="15619" width="0" style="44" hidden="1" customWidth="1"/>
    <col min="15620" max="15632" width="7.42578125" style="44" customWidth="1"/>
    <col min="15633" max="15633" width="11.28515625" style="44" customWidth="1"/>
    <col min="15634" max="15636" width="7.42578125" style="44" customWidth="1"/>
    <col min="15637" max="15637" width="1.140625" style="44" customWidth="1"/>
    <col min="15638" max="15638" width="5.42578125" style="44" customWidth="1"/>
    <col min="15639" max="15872" width="11.42578125" style="44"/>
    <col min="15873" max="15875" width="0" style="44" hidden="1" customWidth="1"/>
    <col min="15876" max="15888" width="7.42578125" style="44" customWidth="1"/>
    <col min="15889" max="15889" width="11.28515625" style="44" customWidth="1"/>
    <col min="15890" max="15892" width="7.42578125" style="44" customWidth="1"/>
    <col min="15893" max="15893" width="1.140625" style="44" customWidth="1"/>
    <col min="15894" max="15894" width="5.42578125" style="44" customWidth="1"/>
    <col min="15895" max="16128" width="11.42578125" style="44"/>
    <col min="16129" max="16131" width="0" style="44" hidden="1" customWidth="1"/>
    <col min="16132" max="16144" width="7.42578125" style="44" customWidth="1"/>
    <col min="16145" max="16145" width="11.28515625" style="44" customWidth="1"/>
    <col min="16146" max="16148" width="7.42578125" style="44" customWidth="1"/>
    <col min="16149" max="16149" width="1.140625" style="44" customWidth="1"/>
    <col min="16150" max="16150" width="5.42578125" style="44" customWidth="1"/>
    <col min="16151" max="16384" width="11.42578125" style="44"/>
  </cols>
  <sheetData>
    <row r="1" spans="1:21" ht="60.75" hidden="1" customHeight="1">
      <c r="A1" s="41"/>
      <c r="B1" s="42"/>
      <c r="C1" s="42"/>
      <c r="D1" s="42"/>
      <c r="E1" s="112" t="s">
        <v>134</v>
      </c>
      <c r="F1" s="113"/>
      <c r="G1" s="113"/>
      <c r="H1" s="113"/>
      <c r="I1" s="113"/>
      <c r="J1" s="113"/>
      <c r="K1" s="113"/>
      <c r="L1" s="113"/>
      <c r="M1" s="113"/>
      <c r="N1" s="114" t="s">
        <v>135</v>
      </c>
      <c r="O1" s="114"/>
      <c r="P1" s="114"/>
      <c r="Q1" s="114"/>
      <c r="R1" s="114"/>
      <c r="S1" s="115"/>
      <c r="T1" s="115"/>
      <c r="U1" s="43"/>
    </row>
    <row r="2" spans="1:21" ht="15" customHeight="1" thickBot="1"/>
    <row r="3" spans="1:21" s="47" customFormat="1" ht="18" customHeight="1" thickBot="1">
      <c r="A3" s="91" t="s">
        <v>136</v>
      </c>
      <c r="B3" s="92"/>
      <c r="C3" s="46"/>
      <c r="D3" s="46"/>
      <c r="E3" s="46"/>
      <c r="F3" s="93" t="s">
        <v>136</v>
      </c>
      <c r="G3" s="94"/>
      <c r="H3" s="95"/>
      <c r="I3" s="46"/>
      <c r="J3" s="46"/>
      <c r="K3" s="46"/>
      <c r="M3" s="93" t="s">
        <v>137</v>
      </c>
      <c r="N3" s="95"/>
      <c r="O3" s="46"/>
      <c r="P3" s="46"/>
      <c r="Q3" s="46" t="s">
        <v>138</v>
      </c>
    </row>
    <row r="4" spans="1:21" s="50" customFormat="1" ht="15.75" customHeight="1">
      <c r="A4" s="48"/>
      <c r="B4" s="49"/>
      <c r="C4" s="49"/>
      <c r="D4" s="49"/>
      <c r="E4" s="49"/>
      <c r="F4" s="49"/>
      <c r="G4" s="49"/>
      <c r="H4" s="49"/>
      <c r="I4" s="49"/>
      <c r="J4" s="49"/>
      <c r="K4" s="49"/>
      <c r="L4" s="49"/>
      <c r="M4" s="49"/>
      <c r="N4" s="49"/>
      <c r="O4" s="49"/>
      <c r="P4" s="49"/>
      <c r="Q4" s="49"/>
      <c r="R4" s="49"/>
      <c r="S4" s="49"/>
      <c r="T4" s="49"/>
    </row>
    <row r="5" spans="1:21" s="50" customFormat="1" ht="15.75" customHeight="1">
      <c r="A5" s="51"/>
      <c r="C5" s="52"/>
      <c r="D5" s="52"/>
      <c r="E5" s="52"/>
      <c r="F5" s="52"/>
      <c r="G5" s="52"/>
      <c r="H5" s="52"/>
      <c r="I5" s="52"/>
      <c r="J5" s="52"/>
      <c r="K5" s="52"/>
      <c r="L5" s="52"/>
      <c r="M5" s="52"/>
      <c r="N5" s="52"/>
      <c r="O5" s="52"/>
      <c r="P5" s="52"/>
      <c r="Q5" s="52"/>
      <c r="R5" s="49"/>
      <c r="S5" s="49"/>
      <c r="T5" s="49"/>
    </row>
    <row r="6" spans="1:21" s="50" customFormat="1" ht="15.75" customHeight="1">
      <c r="A6" s="51"/>
      <c r="B6" s="52"/>
      <c r="C6" s="52"/>
      <c r="D6" s="53"/>
      <c r="E6" s="53"/>
      <c r="F6" s="53"/>
      <c r="G6" s="53"/>
      <c r="H6" s="53"/>
      <c r="I6" s="53"/>
      <c r="J6" s="53"/>
      <c r="K6" s="53"/>
      <c r="L6" s="53"/>
      <c r="M6" s="53"/>
      <c r="N6" s="53"/>
      <c r="O6" s="54"/>
      <c r="P6" s="53"/>
      <c r="Q6" s="52"/>
      <c r="R6" s="52"/>
      <c r="S6" s="52"/>
      <c r="T6" s="52"/>
    </row>
    <row r="7" spans="1:21" s="50" customFormat="1" ht="15.75" customHeight="1">
      <c r="A7" s="51"/>
      <c r="B7" s="52"/>
      <c r="C7" s="52"/>
      <c r="D7" s="54"/>
      <c r="E7" s="53"/>
      <c r="F7" s="53"/>
      <c r="G7" s="55"/>
      <c r="H7" s="44"/>
      <c r="I7" s="44"/>
      <c r="J7" s="53"/>
      <c r="K7" s="53"/>
      <c r="L7" s="53"/>
      <c r="M7" s="53"/>
      <c r="N7" s="53"/>
      <c r="O7" s="53"/>
      <c r="P7" s="53"/>
      <c r="Q7" s="52"/>
      <c r="R7" s="52"/>
      <c r="S7" s="52"/>
      <c r="T7" s="52"/>
    </row>
    <row r="8" spans="1:21" s="50" customFormat="1" ht="15.75" customHeight="1">
      <c r="A8" s="51"/>
      <c r="B8" s="52"/>
      <c r="C8" s="52"/>
      <c r="D8" s="53"/>
      <c r="E8" s="53"/>
      <c r="F8" s="53"/>
      <c r="G8" s="53"/>
      <c r="H8" s="53"/>
      <c r="I8" s="53"/>
      <c r="J8" s="53"/>
      <c r="K8" s="53"/>
      <c r="L8" s="53"/>
      <c r="M8" s="53"/>
      <c r="N8" s="53"/>
      <c r="O8" s="54"/>
      <c r="P8" s="53"/>
      <c r="Q8" s="52"/>
      <c r="R8" s="52"/>
      <c r="S8" s="52"/>
      <c r="T8" s="52"/>
    </row>
    <row r="9" spans="1:21" s="50" customFormat="1" ht="15.75" customHeight="1">
      <c r="A9" s="51"/>
      <c r="B9" s="52"/>
      <c r="C9" s="52"/>
      <c r="D9" s="53"/>
      <c r="E9" s="53"/>
      <c r="F9" s="53"/>
      <c r="G9" s="53"/>
      <c r="H9" s="53"/>
      <c r="I9" s="53"/>
      <c r="J9" s="53"/>
      <c r="K9" s="53"/>
      <c r="L9" s="53"/>
      <c r="M9" s="53"/>
      <c r="N9" s="53"/>
      <c r="O9" s="53"/>
      <c r="P9" s="53"/>
      <c r="Q9" s="52"/>
      <c r="R9" s="52"/>
      <c r="S9" s="52"/>
      <c r="T9" s="52"/>
    </row>
    <row r="10" spans="1:21" s="50" customFormat="1" ht="15.75" customHeight="1">
      <c r="A10" s="51"/>
      <c r="B10" s="52"/>
      <c r="C10" s="52"/>
      <c r="D10" s="53"/>
      <c r="E10" s="53"/>
      <c r="F10" s="53"/>
      <c r="G10" s="53"/>
      <c r="H10" s="53"/>
      <c r="I10" s="53"/>
      <c r="J10" s="53"/>
      <c r="K10" s="53"/>
      <c r="L10" s="53"/>
      <c r="M10" s="53"/>
      <c r="N10" s="55"/>
      <c r="O10" s="44"/>
      <c r="P10" s="53"/>
      <c r="Q10" s="52"/>
      <c r="R10" s="52"/>
      <c r="S10" s="52"/>
      <c r="T10" s="52"/>
    </row>
    <row r="11" spans="1:21" s="50" customFormat="1" ht="15.75" customHeight="1">
      <c r="A11" s="51"/>
      <c r="B11" s="52"/>
      <c r="C11" s="52"/>
      <c r="D11" s="53"/>
      <c r="E11" s="53"/>
      <c r="F11" s="53"/>
      <c r="G11" s="53"/>
      <c r="H11" s="53"/>
      <c r="I11" s="53"/>
      <c r="J11" s="53"/>
      <c r="K11" s="53"/>
      <c r="L11" s="53"/>
      <c r="M11" s="53"/>
      <c r="N11" s="53"/>
      <c r="O11" s="53"/>
      <c r="P11" s="53"/>
      <c r="Q11" s="52"/>
      <c r="R11" s="56"/>
      <c r="S11" s="56"/>
      <c r="T11" s="56"/>
    </row>
    <row r="12" spans="1:21" s="50" customFormat="1" ht="15.75" customHeight="1">
      <c r="A12" s="51"/>
      <c r="B12" s="52"/>
      <c r="C12" s="52"/>
      <c r="D12" s="53"/>
      <c r="E12" s="53"/>
      <c r="F12" s="53"/>
      <c r="G12" s="53"/>
      <c r="H12" s="53"/>
      <c r="I12" s="53"/>
      <c r="J12" s="53"/>
      <c r="K12" s="53"/>
      <c r="L12" s="53"/>
      <c r="M12" s="53"/>
      <c r="N12" s="53"/>
      <c r="O12" s="53"/>
      <c r="P12" s="53"/>
      <c r="Q12" s="52"/>
      <c r="R12" s="96" t="s">
        <v>139</v>
      </c>
      <c r="S12" s="97"/>
      <c r="T12" s="98"/>
    </row>
    <row r="13" spans="1:21" s="50" customFormat="1" ht="15.75" customHeight="1">
      <c r="A13" s="51"/>
      <c r="B13" s="52"/>
      <c r="C13" s="52"/>
      <c r="D13" s="53"/>
      <c r="E13" s="53"/>
      <c r="F13" s="53"/>
      <c r="G13" s="53"/>
      <c r="H13" s="53"/>
      <c r="I13" s="53"/>
      <c r="J13" s="53"/>
      <c r="K13" s="53"/>
      <c r="L13" s="53"/>
      <c r="M13" s="53"/>
      <c r="N13" s="53"/>
      <c r="O13" s="53"/>
      <c r="P13" s="53"/>
      <c r="Q13" s="52"/>
      <c r="R13" s="99"/>
      <c r="S13" s="100"/>
      <c r="T13" s="101"/>
    </row>
    <row r="14" spans="1:21" s="50" customFormat="1" ht="15.75" hidden="1" customHeight="1">
      <c r="A14" s="51"/>
      <c r="B14" s="57"/>
      <c r="D14" s="55"/>
      <c r="E14" s="53"/>
      <c r="F14" s="53"/>
      <c r="G14" s="53"/>
      <c r="H14" s="53"/>
      <c r="I14" s="53"/>
      <c r="J14" s="53"/>
      <c r="K14" s="53"/>
      <c r="L14" s="53"/>
      <c r="M14" s="53"/>
      <c r="N14" s="53"/>
      <c r="O14" s="53"/>
      <c r="P14" s="53"/>
      <c r="Q14" s="52"/>
      <c r="R14" s="99"/>
      <c r="S14" s="100"/>
      <c r="T14" s="101"/>
    </row>
    <row r="15" spans="1:21" s="50" customFormat="1" ht="21.75" hidden="1" customHeight="1">
      <c r="A15" s="51"/>
      <c r="B15" s="52"/>
      <c r="C15" s="52"/>
      <c r="D15" s="53"/>
      <c r="E15" s="53"/>
      <c r="F15" s="53"/>
      <c r="G15" s="53"/>
      <c r="H15" s="53"/>
      <c r="I15" s="53"/>
      <c r="J15" s="53"/>
      <c r="K15" s="53"/>
      <c r="L15" s="53"/>
      <c r="M15" s="53"/>
      <c r="N15" s="53"/>
      <c r="O15" s="53"/>
      <c r="P15" s="53"/>
      <c r="Q15" s="52"/>
      <c r="R15" s="99"/>
      <c r="S15" s="100"/>
      <c r="T15" s="101"/>
    </row>
    <row r="16" spans="1:21" s="50" customFormat="1" ht="9.75" customHeight="1">
      <c r="A16" s="51"/>
      <c r="B16" s="52"/>
      <c r="C16" s="52"/>
      <c r="D16" s="53"/>
      <c r="E16" s="53"/>
      <c r="F16" s="53"/>
      <c r="G16" s="53"/>
      <c r="H16" s="53"/>
      <c r="I16" s="53"/>
      <c r="J16" s="53"/>
      <c r="K16" s="53"/>
      <c r="L16" s="53"/>
      <c r="M16" s="53"/>
      <c r="N16" s="53"/>
      <c r="O16" s="53"/>
      <c r="P16" s="53"/>
      <c r="Q16" s="52"/>
      <c r="R16" s="99"/>
      <c r="S16" s="100"/>
      <c r="T16" s="101"/>
    </row>
    <row r="17" spans="1:20" s="50" customFormat="1" ht="15.75" hidden="1" customHeight="1">
      <c r="A17" s="58"/>
      <c r="D17" s="44"/>
      <c r="E17" s="44"/>
      <c r="F17" s="44"/>
      <c r="G17" s="44"/>
      <c r="H17" s="44"/>
      <c r="I17" s="44"/>
      <c r="J17" s="44"/>
      <c r="K17" s="44"/>
      <c r="L17" s="44"/>
      <c r="M17" s="44"/>
      <c r="N17" s="44"/>
      <c r="O17" s="44"/>
      <c r="P17" s="44"/>
      <c r="R17" s="99"/>
      <c r="S17" s="100"/>
      <c r="T17" s="101"/>
    </row>
    <row r="18" spans="1:20" s="50" customFormat="1" ht="15.75" customHeight="1">
      <c r="A18" s="58"/>
      <c r="D18" s="44"/>
      <c r="E18" s="44"/>
      <c r="F18" s="44"/>
      <c r="G18" s="44"/>
      <c r="H18" s="44"/>
      <c r="I18" s="44"/>
      <c r="J18" s="44"/>
      <c r="K18" s="44"/>
      <c r="L18" s="44"/>
      <c r="M18" s="44"/>
      <c r="N18" s="44"/>
      <c r="O18" s="44"/>
      <c r="P18" s="44"/>
      <c r="R18" s="99"/>
      <c r="S18" s="100"/>
      <c r="T18" s="101"/>
    </row>
    <row r="19" spans="1:20" s="50" customFormat="1" ht="15.75" customHeight="1">
      <c r="A19" s="58"/>
      <c r="D19" s="44"/>
      <c r="E19" s="44"/>
      <c r="F19" s="44"/>
      <c r="G19" s="44"/>
      <c r="H19" s="44"/>
      <c r="I19" s="44"/>
      <c r="J19" s="44"/>
      <c r="K19" s="44"/>
      <c r="L19" s="44"/>
      <c r="M19" s="44"/>
      <c r="N19" s="44"/>
      <c r="O19" s="44"/>
      <c r="P19" s="44"/>
      <c r="R19" s="99"/>
      <c r="S19" s="100"/>
      <c r="T19" s="101"/>
    </row>
    <row r="20" spans="1:20" s="50" customFormat="1" ht="15.75" customHeight="1">
      <c r="A20" s="48"/>
      <c r="B20" s="49"/>
      <c r="C20" s="49"/>
      <c r="D20" s="59"/>
      <c r="E20" s="59"/>
      <c r="F20" s="59"/>
      <c r="G20" s="59"/>
      <c r="H20" s="59"/>
      <c r="I20" s="59"/>
      <c r="J20" s="59"/>
      <c r="K20" s="59"/>
      <c r="L20" s="59"/>
      <c r="M20" s="59"/>
      <c r="N20" s="59"/>
      <c r="O20" s="59"/>
      <c r="P20" s="59"/>
      <c r="Q20" s="49"/>
      <c r="R20" s="99"/>
      <c r="S20" s="100"/>
      <c r="T20" s="101"/>
    </row>
    <row r="21" spans="1:20" s="50" customFormat="1" ht="15.75" customHeight="1">
      <c r="A21" s="51"/>
      <c r="B21" s="52"/>
      <c r="C21" s="52"/>
      <c r="D21" s="53"/>
      <c r="E21" s="53"/>
      <c r="F21" s="54"/>
      <c r="G21" s="53"/>
      <c r="H21" s="53"/>
      <c r="I21" s="53"/>
      <c r="J21" s="53"/>
      <c r="K21" s="53"/>
      <c r="L21" s="53"/>
      <c r="M21" s="53"/>
      <c r="N21" s="53"/>
      <c r="O21" s="53"/>
      <c r="P21" s="53"/>
      <c r="Q21" s="52"/>
      <c r="R21" s="102"/>
      <c r="S21" s="103"/>
      <c r="T21" s="104"/>
    </row>
    <row r="22" spans="1:20" s="50" customFormat="1" ht="15.75" customHeight="1">
      <c r="A22" s="48"/>
      <c r="B22" s="49"/>
      <c r="C22" s="49"/>
      <c r="D22" s="59"/>
      <c r="E22" s="59"/>
      <c r="F22" s="59"/>
      <c r="G22" s="59"/>
      <c r="H22" s="59"/>
      <c r="I22" s="59"/>
      <c r="J22" s="59"/>
      <c r="K22" s="59"/>
      <c r="L22" s="59"/>
      <c r="M22" s="59"/>
      <c r="N22" s="59"/>
      <c r="O22" s="59"/>
      <c r="P22" s="59"/>
      <c r="Q22" s="49"/>
      <c r="R22" s="49"/>
      <c r="S22" s="49"/>
      <c r="T22" s="49"/>
    </row>
    <row r="23" spans="1:20" s="50" customFormat="1" ht="15.75" customHeight="1">
      <c r="A23" s="51"/>
      <c r="B23" s="52"/>
      <c r="C23" s="52"/>
      <c r="D23" s="55"/>
      <c r="E23" s="53"/>
      <c r="F23" s="53"/>
      <c r="G23" s="53"/>
      <c r="H23" s="53"/>
      <c r="I23" s="55"/>
      <c r="J23" s="53"/>
      <c r="K23" s="53"/>
      <c r="L23" s="53"/>
      <c r="M23" s="53"/>
      <c r="N23" s="53"/>
      <c r="O23" s="53"/>
      <c r="P23" s="53"/>
      <c r="Q23" s="52"/>
      <c r="R23" s="52"/>
      <c r="S23" s="52"/>
      <c r="T23" s="52"/>
    </row>
    <row r="24" spans="1:20" s="50" customFormat="1" ht="15.75" customHeight="1">
      <c r="A24" s="51"/>
      <c r="B24" s="52"/>
      <c r="C24" s="52"/>
      <c r="D24" s="53"/>
      <c r="E24" s="54"/>
      <c r="F24" s="54"/>
      <c r="G24" s="54"/>
      <c r="H24" s="54"/>
      <c r="I24" s="54"/>
      <c r="J24" s="54"/>
      <c r="K24" s="54"/>
      <c r="L24" s="53"/>
      <c r="M24" s="53"/>
      <c r="N24" s="53"/>
      <c r="O24" s="53"/>
      <c r="P24" s="53"/>
      <c r="Q24" s="52"/>
      <c r="R24" s="52"/>
      <c r="S24" s="52"/>
      <c r="T24" s="52"/>
    </row>
    <row r="25" spans="1:20" s="50" customFormat="1" ht="15.75" customHeight="1">
      <c r="A25" s="51"/>
      <c r="B25" s="52"/>
      <c r="C25" s="52"/>
      <c r="D25" s="53"/>
      <c r="E25" s="54"/>
      <c r="F25" s="54"/>
      <c r="G25" s="54"/>
      <c r="H25" s="54"/>
      <c r="I25" s="54"/>
      <c r="J25" s="54"/>
      <c r="K25" s="54"/>
      <c r="L25" s="53"/>
      <c r="M25" s="53"/>
      <c r="N25" s="44"/>
      <c r="O25" s="55"/>
      <c r="P25" s="53"/>
      <c r="Q25" s="52"/>
      <c r="R25" s="52"/>
      <c r="S25" s="52"/>
      <c r="T25" s="52"/>
    </row>
    <row r="26" spans="1:20" s="50" customFormat="1" ht="15.75" hidden="1" customHeight="1">
      <c r="A26" s="51"/>
      <c r="B26" s="52"/>
      <c r="C26" s="52"/>
      <c r="D26" s="53"/>
      <c r="E26" s="54"/>
      <c r="F26" s="54"/>
      <c r="G26" s="54"/>
      <c r="H26" s="54"/>
      <c r="I26" s="54"/>
      <c r="J26" s="54"/>
      <c r="K26" s="54"/>
      <c r="L26" s="53"/>
      <c r="M26" s="53"/>
      <c r="N26" s="53"/>
      <c r="O26" s="53"/>
      <c r="P26" s="53"/>
      <c r="Q26" s="52"/>
      <c r="R26" s="52"/>
      <c r="S26" s="52"/>
      <c r="T26" s="52"/>
    </row>
    <row r="27" spans="1:20" s="50" customFormat="1" ht="15.75" hidden="1" customHeight="1">
      <c r="A27" s="51"/>
      <c r="B27" s="52"/>
      <c r="C27" s="52"/>
      <c r="D27" s="53"/>
      <c r="E27" s="54"/>
      <c r="F27" s="54"/>
      <c r="G27" s="54"/>
      <c r="H27" s="54"/>
      <c r="I27" s="54"/>
      <c r="J27" s="54"/>
      <c r="K27" s="54"/>
      <c r="L27" s="53"/>
      <c r="M27" s="53"/>
      <c r="N27" s="53"/>
      <c r="O27" s="53"/>
      <c r="P27" s="53"/>
      <c r="Q27" s="52"/>
      <c r="R27" s="52"/>
      <c r="S27" s="52"/>
      <c r="T27" s="52"/>
    </row>
    <row r="28" spans="1:20" s="50" customFormat="1" ht="15.75" hidden="1" customHeight="1">
      <c r="A28" s="51"/>
      <c r="B28" s="52"/>
      <c r="C28" s="52"/>
      <c r="D28" s="53"/>
      <c r="E28" s="54"/>
      <c r="F28" s="54"/>
      <c r="G28" s="54"/>
      <c r="H28" s="54"/>
      <c r="I28" s="54"/>
      <c r="J28" s="54"/>
      <c r="K28" s="54"/>
      <c r="L28" s="53"/>
      <c r="M28" s="53"/>
      <c r="N28" s="53"/>
      <c r="O28" s="53"/>
      <c r="P28" s="53"/>
      <c r="Q28" s="52"/>
      <c r="R28" s="52"/>
      <c r="S28" s="52"/>
      <c r="T28" s="52"/>
    </row>
    <row r="29" spans="1:20" s="50" customFormat="1" ht="15.75" hidden="1" customHeight="1">
      <c r="A29" s="51"/>
      <c r="B29" s="52"/>
      <c r="C29" s="52"/>
      <c r="D29" s="53"/>
      <c r="E29" s="54"/>
      <c r="F29" s="54"/>
      <c r="G29" s="54"/>
      <c r="H29" s="54"/>
      <c r="I29" s="54"/>
      <c r="J29" s="54"/>
      <c r="K29" s="54"/>
      <c r="L29" s="53"/>
      <c r="M29" s="53"/>
      <c r="N29" s="53"/>
      <c r="O29" s="53"/>
      <c r="P29" s="53"/>
      <c r="Q29" s="52"/>
      <c r="R29" s="52"/>
      <c r="S29" s="52"/>
      <c r="T29" s="52"/>
    </row>
    <row r="30" spans="1:20" s="50" customFormat="1" ht="15.75" hidden="1" customHeight="1">
      <c r="A30" s="51"/>
      <c r="B30" s="52"/>
      <c r="C30" s="52"/>
      <c r="D30" s="53"/>
      <c r="E30" s="44"/>
      <c r="F30" s="53"/>
      <c r="G30" s="53"/>
      <c r="H30" s="53"/>
      <c r="I30" s="53"/>
      <c r="J30" s="53"/>
      <c r="K30" s="53"/>
      <c r="L30" s="53"/>
      <c r="M30" s="53"/>
      <c r="N30" s="53"/>
      <c r="O30" s="53"/>
      <c r="P30" s="53"/>
      <c r="Q30" s="52"/>
      <c r="R30" s="52"/>
      <c r="S30" s="52"/>
      <c r="T30" s="52"/>
    </row>
    <row r="31" spans="1:20" s="50" customFormat="1" ht="15.75" hidden="1" customHeight="1">
      <c r="A31" s="51"/>
      <c r="B31" s="52"/>
      <c r="C31" s="52"/>
      <c r="D31" s="52"/>
      <c r="E31" s="52"/>
      <c r="F31" s="52"/>
      <c r="G31" s="52"/>
      <c r="H31" s="52"/>
      <c r="I31" s="52"/>
      <c r="J31" s="52"/>
      <c r="K31" s="52"/>
      <c r="L31" s="52"/>
      <c r="M31" s="52"/>
      <c r="N31" s="52"/>
      <c r="O31" s="52"/>
      <c r="P31" s="52"/>
      <c r="Q31" s="52"/>
      <c r="R31" s="52"/>
      <c r="S31" s="52"/>
      <c r="T31" s="52"/>
    </row>
    <row r="32" spans="1:20" s="50" customFormat="1" ht="15.75" hidden="1" customHeight="1">
      <c r="A32" s="48"/>
      <c r="B32" s="49"/>
      <c r="C32" s="49"/>
      <c r="D32" s="49"/>
      <c r="E32" s="49"/>
      <c r="F32" s="49"/>
      <c r="G32" s="49"/>
      <c r="H32" s="49"/>
      <c r="I32" s="49"/>
      <c r="J32" s="49"/>
      <c r="K32" s="49"/>
      <c r="L32" s="49"/>
      <c r="M32" s="49"/>
      <c r="N32" s="49"/>
      <c r="O32" s="49"/>
      <c r="P32" s="49"/>
      <c r="Q32" s="49"/>
      <c r="R32" s="49"/>
      <c r="S32" s="49"/>
      <c r="T32" s="49"/>
    </row>
    <row r="33" spans="1:17" s="50" customFormat="1" ht="15.75" customHeight="1" thickBot="1">
      <c r="A33" s="58"/>
    </row>
    <row r="34" spans="1:17" s="60" customFormat="1" ht="18" customHeight="1" thickBot="1">
      <c r="E34" s="105" t="s">
        <v>140</v>
      </c>
      <c r="F34" s="106"/>
      <c r="G34" s="107"/>
      <c r="I34" s="46"/>
      <c r="J34" s="46"/>
      <c r="K34" s="108" t="s">
        <v>141</v>
      </c>
      <c r="L34" s="109"/>
      <c r="M34" s="110"/>
      <c r="N34" s="111"/>
      <c r="P34" s="46"/>
      <c r="Q34" s="46"/>
    </row>
    <row r="35" spans="1:17" ht="12.75" customHeight="1">
      <c r="A35" s="61"/>
    </row>
    <row r="36" spans="1:17" ht="12.75" customHeight="1">
      <c r="A36" s="61"/>
    </row>
    <row r="37" spans="1:17" ht="12.75" customHeight="1">
      <c r="A37" s="61"/>
    </row>
    <row r="38" spans="1:17" ht="12.75" customHeight="1">
      <c r="A38" s="61"/>
    </row>
    <row r="39" spans="1:17" ht="9.75" customHeight="1">
      <c r="A39" s="61"/>
    </row>
    <row r="40" spans="1:17" ht="9.75" customHeight="1">
      <c r="A40" s="61"/>
    </row>
    <row r="41" spans="1:17" ht="9.75" customHeight="1">
      <c r="A41" s="61"/>
    </row>
    <row r="42" spans="1:17" ht="9.75" customHeight="1">
      <c r="A42" s="61"/>
    </row>
    <row r="43" spans="1:17" ht="9.75" customHeight="1">
      <c r="A43" s="61"/>
    </row>
    <row r="44" spans="1:17" ht="9.75" customHeight="1">
      <c r="A44" s="61"/>
    </row>
    <row r="45" spans="1:17" ht="9.75" customHeight="1">
      <c r="A45" s="61"/>
    </row>
    <row r="46" spans="1:17" ht="9.75" customHeight="1">
      <c r="A46" s="61"/>
    </row>
    <row r="47" spans="1:17" ht="9.75" customHeight="1">
      <c r="A47" s="61"/>
    </row>
    <row r="48" spans="1:17" ht="9.75" customHeight="1">
      <c r="A48" s="61"/>
    </row>
    <row r="49" spans="1:1" ht="9.75" customHeight="1">
      <c r="A49" s="61"/>
    </row>
    <row r="50" spans="1:1" ht="9.75" customHeight="1">
      <c r="A50" s="61"/>
    </row>
    <row r="51" spans="1:1" ht="9.75" customHeight="1"/>
    <row r="52" spans="1:1" ht="9.75" customHeight="1"/>
    <row r="53" spans="1:1" ht="9.75" customHeight="1"/>
    <row r="54" spans="1:1" ht="9.75" customHeight="1"/>
    <row r="55" spans="1:1" ht="9.75" customHeight="1"/>
    <row r="56" spans="1:1" ht="9.75" customHeight="1"/>
    <row r="57" spans="1:1" ht="9.75" customHeight="1"/>
  </sheetData>
  <mergeCells count="9">
    <mergeCell ref="E1:M1"/>
    <mergeCell ref="N1:T1"/>
    <mergeCell ref="A3:B3"/>
    <mergeCell ref="F3:H3"/>
    <mergeCell ref="M3:N3"/>
    <mergeCell ref="R12:T21"/>
    <mergeCell ref="E34:G34"/>
    <mergeCell ref="K34:L34"/>
    <mergeCell ref="M34:N34"/>
  </mergeCells>
  <printOptions horizontalCentered="1"/>
  <pageMargins left="0.19685039370078741" right="0.19685039370078741" top="0.15748031496062992" bottom="0.19685039370078741" header="0.15748031496062992" footer="0.19685039370078741"/>
  <pageSetup paperSize="9" scale="96" orientation="landscape" horizontalDpi="4294967292" verticalDpi="96" r:id="rId1"/>
  <headerFooter alignWithMargins="0">
    <oddFooter>&amp;RPDCA Ishikawa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632D-1A34-451F-898A-E6DA57C9AE25}">
  <dimension ref="B2:E27"/>
  <sheetViews>
    <sheetView showGridLines="0" zoomScale="80" zoomScaleNormal="80" workbookViewId="0">
      <selection activeCell="D23" sqref="D23"/>
    </sheetView>
  </sheetViews>
  <sheetFormatPr baseColWidth="10" defaultRowHeight="15"/>
  <cols>
    <col min="2" max="2" width="26.140625" customWidth="1"/>
    <col min="3" max="3" width="23.42578125" customWidth="1"/>
    <col min="4" max="4" width="55.140625" customWidth="1"/>
    <col min="5" max="5" width="81.140625" customWidth="1"/>
  </cols>
  <sheetData>
    <row r="2" spans="2:5" ht="30" customHeight="1">
      <c r="B2" s="66" t="s">
        <v>150</v>
      </c>
      <c r="C2" s="3"/>
      <c r="D2" s="3"/>
      <c r="E2" s="3"/>
    </row>
    <row r="3" spans="2:5" ht="30.75" customHeight="1">
      <c r="B3" s="67"/>
      <c r="C3" s="68" t="s">
        <v>151</v>
      </c>
      <c r="D3" s="68" t="s">
        <v>152</v>
      </c>
      <c r="E3" s="68" t="s">
        <v>153</v>
      </c>
    </row>
    <row r="4" spans="2:5" ht="18.75" customHeight="1">
      <c r="B4" s="116" t="s">
        <v>154</v>
      </c>
      <c r="C4" s="122" t="s">
        <v>155</v>
      </c>
      <c r="D4" s="69" t="s">
        <v>156</v>
      </c>
      <c r="E4" s="70" t="s">
        <v>157</v>
      </c>
    </row>
    <row r="5" spans="2:5" ht="18.75" customHeight="1">
      <c r="B5" s="117"/>
      <c r="C5" s="123"/>
      <c r="D5" s="69" t="s">
        <v>158</v>
      </c>
      <c r="E5" s="70" t="s">
        <v>159</v>
      </c>
    </row>
    <row r="6" spans="2:5" ht="18.75" customHeight="1">
      <c r="B6" s="117"/>
      <c r="C6" s="123"/>
      <c r="D6" s="69" t="s">
        <v>160</v>
      </c>
      <c r="E6" s="70" t="s">
        <v>161</v>
      </c>
    </row>
    <row r="7" spans="2:5" ht="18.75" customHeight="1">
      <c r="B7" s="117"/>
      <c r="C7" s="123"/>
      <c r="D7" s="69" t="s">
        <v>162</v>
      </c>
      <c r="E7" s="70"/>
    </row>
    <row r="8" spans="2:5" ht="18.75" customHeight="1">
      <c r="B8" s="117"/>
      <c r="C8" s="123"/>
      <c r="D8" s="69"/>
      <c r="E8" s="70"/>
    </row>
    <row r="9" spans="2:5" ht="18.75" customHeight="1">
      <c r="B9" s="118"/>
      <c r="C9" s="124"/>
      <c r="D9" s="69"/>
      <c r="E9" s="70"/>
    </row>
    <row r="10" spans="2:5" ht="18.75" customHeight="1">
      <c r="B10" s="116" t="s">
        <v>163</v>
      </c>
      <c r="C10" s="119" t="s">
        <v>164</v>
      </c>
      <c r="D10" s="69" t="s">
        <v>165</v>
      </c>
      <c r="E10" s="70" t="s">
        <v>166</v>
      </c>
    </row>
    <row r="11" spans="2:5" ht="18.75" customHeight="1">
      <c r="B11" s="117"/>
      <c r="C11" s="120"/>
      <c r="D11" s="69" t="s">
        <v>167</v>
      </c>
      <c r="E11" s="70" t="s">
        <v>168</v>
      </c>
    </row>
    <row r="12" spans="2:5" ht="18.75" customHeight="1">
      <c r="B12" s="117"/>
      <c r="C12" s="120"/>
      <c r="D12" s="69" t="s">
        <v>169</v>
      </c>
      <c r="E12" s="70" t="s">
        <v>170</v>
      </c>
    </row>
    <row r="13" spans="2:5" ht="18.75" customHeight="1">
      <c r="B13" s="117"/>
      <c r="C13" s="120"/>
      <c r="D13" s="69" t="s">
        <v>171</v>
      </c>
      <c r="E13" s="70" t="s">
        <v>172</v>
      </c>
    </row>
    <row r="14" spans="2:5" ht="18.75" customHeight="1">
      <c r="B14" s="117"/>
      <c r="C14" s="120"/>
      <c r="D14" s="69"/>
      <c r="E14" s="70" t="s">
        <v>173</v>
      </c>
    </row>
    <row r="15" spans="2:5" ht="18.75" customHeight="1">
      <c r="B15" s="118"/>
      <c r="C15" s="121"/>
      <c r="D15" s="69"/>
      <c r="E15" s="70" t="s">
        <v>174</v>
      </c>
    </row>
    <row r="16" spans="2:5" ht="18.75" customHeight="1">
      <c r="B16" s="116" t="s">
        <v>175</v>
      </c>
      <c r="C16" s="119" t="s">
        <v>176</v>
      </c>
      <c r="D16" s="69" t="s">
        <v>177</v>
      </c>
      <c r="E16" s="71"/>
    </row>
    <row r="17" spans="2:5" ht="18.75" customHeight="1">
      <c r="B17" s="117"/>
      <c r="C17" s="120"/>
      <c r="D17" s="69" t="s">
        <v>178</v>
      </c>
      <c r="E17" s="70" t="s">
        <v>179</v>
      </c>
    </row>
    <row r="18" spans="2:5" ht="18.75" customHeight="1">
      <c r="B18" s="117"/>
      <c r="C18" s="120"/>
      <c r="D18" s="69" t="s">
        <v>180</v>
      </c>
      <c r="E18" s="70" t="s">
        <v>181</v>
      </c>
    </row>
    <row r="19" spans="2:5" ht="18.75" customHeight="1">
      <c r="B19" s="117"/>
      <c r="C19" s="120"/>
      <c r="D19" s="69" t="s">
        <v>182</v>
      </c>
      <c r="E19" s="70" t="s">
        <v>183</v>
      </c>
    </row>
    <row r="20" spans="2:5" ht="18.75" customHeight="1">
      <c r="B20" s="117"/>
      <c r="C20" s="120"/>
      <c r="D20" s="69" t="s">
        <v>184</v>
      </c>
      <c r="E20" s="70" t="s">
        <v>185</v>
      </c>
    </row>
    <row r="21" spans="2:5" ht="18.75" customHeight="1">
      <c r="B21" s="118"/>
      <c r="C21" s="121"/>
      <c r="D21" s="69"/>
      <c r="E21" s="70"/>
    </row>
    <row r="22" spans="2:5" ht="18.75" customHeight="1">
      <c r="B22" s="116" t="s">
        <v>186</v>
      </c>
      <c r="C22" s="119" t="s">
        <v>187</v>
      </c>
      <c r="D22" s="69" t="s">
        <v>188</v>
      </c>
      <c r="E22" s="70" t="s">
        <v>189</v>
      </c>
    </row>
    <row r="23" spans="2:5" ht="18.75" customHeight="1">
      <c r="B23" s="117"/>
      <c r="C23" s="120"/>
      <c r="D23" s="69" t="s">
        <v>190</v>
      </c>
      <c r="E23" s="70" t="s">
        <v>191</v>
      </c>
    </row>
    <row r="24" spans="2:5" ht="18.75" customHeight="1">
      <c r="B24" s="117"/>
      <c r="C24" s="120"/>
      <c r="D24" s="69" t="s">
        <v>184</v>
      </c>
      <c r="E24" s="70" t="s">
        <v>192</v>
      </c>
    </row>
    <row r="25" spans="2:5" ht="18.75" customHeight="1">
      <c r="B25" s="117"/>
      <c r="C25" s="120"/>
      <c r="D25" s="69" t="s">
        <v>193</v>
      </c>
      <c r="E25" s="70" t="s">
        <v>170</v>
      </c>
    </row>
    <row r="26" spans="2:5" ht="18.75" customHeight="1">
      <c r="B26" s="117"/>
      <c r="C26" s="120"/>
      <c r="D26" s="69"/>
      <c r="E26" s="70" t="s">
        <v>172</v>
      </c>
    </row>
    <row r="27" spans="2:5" ht="18.75" customHeight="1">
      <c r="B27" s="118"/>
      <c r="C27" s="121"/>
      <c r="D27" s="72"/>
      <c r="E27" s="73" t="s">
        <v>185</v>
      </c>
    </row>
  </sheetData>
  <mergeCells count="8">
    <mergeCell ref="B22:B27"/>
    <mergeCell ref="C22:C27"/>
    <mergeCell ref="B4:B9"/>
    <mergeCell ref="C4:C9"/>
    <mergeCell ref="B10:B15"/>
    <mergeCell ref="C10:C15"/>
    <mergeCell ref="B16:B21"/>
    <mergeCell ref="C16:C21"/>
  </mergeCells>
  <pageMargins left="0.7" right="0.7" top="0.75" bottom="0.75" header="0.3" footer="0.3"/>
  <pageSetup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25BE8-848C-4FB0-842B-D877049E9B84}">
  <dimension ref="B1:B35"/>
  <sheetViews>
    <sheetView showGridLines="0" workbookViewId="0">
      <selection activeCell="B13" sqref="B13"/>
    </sheetView>
  </sheetViews>
  <sheetFormatPr baseColWidth="10" defaultRowHeight="15"/>
  <cols>
    <col min="2" max="2" width="92.140625" customWidth="1"/>
    <col min="3" max="3" width="9.140625" customWidth="1"/>
  </cols>
  <sheetData>
    <row r="1" spans="2:2" ht="20.25">
      <c r="B1" s="29" t="s">
        <v>194</v>
      </c>
    </row>
    <row r="2" spans="2:2">
      <c r="B2" s="30"/>
    </row>
    <row r="3" spans="2:2" ht="15.75">
      <c r="B3" s="62" t="s">
        <v>147</v>
      </c>
    </row>
    <row r="4" spans="2:2" ht="28.5">
      <c r="B4" s="28" t="s">
        <v>65</v>
      </c>
    </row>
    <row r="5" spans="2:2">
      <c r="B5" s="28" t="s">
        <v>66</v>
      </c>
    </row>
    <row r="6" spans="2:2">
      <c r="B6" s="32"/>
    </row>
    <row r="7" spans="2:2" ht="15.75">
      <c r="B7" s="62" t="s">
        <v>67</v>
      </c>
    </row>
    <row r="8" spans="2:2">
      <c r="B8" s="28" t="s">
        <v>68</v>
      </c>
    </row>
    <row r="9" spans="2:2">
      <c r="B9" s="28" t="s">
        <v>69</v>
      </c>
    </row>
    <row r="10" spans="2:2">
      <c r="B10" s="32"/>
    </row>
    <row r="11" spans="2:2" ht="15.75">
      <c r="B11" s="62" t="s">
        <v>70</v>
      </c>
    </row>
    <row r="12" spans="2:2">
      <c r="B12" s="28" t="s">
        <v>71</v>
      </c>
    </row>
    <row r="13" spans="2:2">
      <c r="B13" s="28" t="s">
        <v>72</v>
      </c>
    </row>
    <row r="14" spans="2:2">
      <c r="B14" s="32"/>
    </row>
    <row r="15" spans="2:2" ht="15.75">
      <c r="B15" s="62" t="s">
        <v>73</v>
      </c>
    </row>
    <row r="16" spans="2:2">
      <c r="B16" s="28" t="s">
        <v>74</v>
      </c>
    </row>
    <row r="17" spans="2:2">
      <c r="B17" s="28" t="s">
        <v>75</v>
      </c>
    </row>
    <row r="18" spans="2:2">
      <c r="B18" s="32"/>
    </row>
    <row r="19" spans="2:2" ht="15.75">
      <c r="B19" s="63" t="s">
        <v>76</v>
      </c>
    </row>
    <row r="20" spans="2:2">
      <c r="B20" s="28" t="s">
        <v>77</v>
      </c>
    </row>
    <row r="21" spans="2:2">
      <c r="B21" s="32"/>
    </row>
    <row r="22" spans="2:2" ht="15.75">
      <c r="B22" s="62" t="s">
        <v>78</v>
      </c>
    </row>
    <row r="23" spans="2:2">
      <c r="B23" s="32"/>
    </row>
    <row r="24" spans="2:2">
      <c r="B24" s="28" t="s">
        <v>79</v>
      </c>
    </row>
    <row r="25" spans="2:2">
      <c r="B25" s="28" t="s">
        <v>80</v>
      </c>
    </row>
    <row r="26" spans="2:2">
      <c r="B26" s="32"/>
    </row>
    <row r="27" spans="2:2" ht="15.75">
      <c r="B27" s="63" t="s">
        <v>146</v>
      </c>
    </row>
    <row r="28" spans="2:2">
      <c r="B28" s="32"/>
    </row>
    <row r="29" spans="2:2">
      <c r="B29" s="28" t="s">
        <v>81</v>
      </c>
    </row>
    <row r="30" spans="2:2">
      <c r="B30" s="28" t="s">
        <v>82</v>
      </c>
    </row>
    <row r="31" spans="2:2">
      <c r="B31" s="32"/>
    </row>
    <row r="32" spans="2:2" ht="15.75">
      <c r="B32" s="62" t="s">
        <v>83</v>
      </c>
    </row>
    <row r="33" spans="2:2">
      <c r="B33" s="28"/>
    </row>
    <row r="34" spans="2:2">
      <c r="B34" s="28" t="s">
        <v>84</v>
      </c>
    </row>
    <row r="35" spans="2:2">
      <c r="B35" s="28"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Orden perfecta</vt:lpstr>
      <vt:lpstr>CAUSAS</vt:lpstr>
      <vt:lpstr>EX Ishikawa</vt:lpstr>
      <vt:lpstr>Estrategias1</vt:lpstr>
      <vt:lpstr>Estartegias2</vt:lpstr>
      <vt:lpstr>'EX Ishikawa'!Área_de_impresión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Kaicedo</dc:creator>
  <cp:lastModifiedBy>Luis Támara</cp:lastModifiedBy>
  <dcterms:created xsi:type="dcterms:W3CDTF">2021-04-02T22:00:10Z</dcterms:created>
  <dcterms:modified xsi:type="dcterms:W3CDTF">2026-02-27T21:32:36Z</dcterms:modified>
</cp:coreProperties>
</file>